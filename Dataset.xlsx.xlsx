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Rudra\Downloads\"/>
    </mc:Choice>
  </mc:AlternateContent>
  <xr:revisionPtr revIDLastSave="0" documentId="13_ncr:1_{6C0A7F8B-8F45-479E-8422-126C333F86A2}" xr6:coauthVersionLast="47" xr6:coauthVersionMax="47" xr10:uidLastSave="{00000000-0000-0000-0000-000000000000}"/>
  <bookViews>
    <workbookView xWindow="-108" yWindow="-108" windowWidth="23256" windowHeight="12456" firstSheet="4" activeTab="9" xr2:uid="{00000000-000D-0000-FFFF-FFFF00000000}"/>
  </bookViews>
  <sheets>
    <sheet name="Sheet13" sheetId="27" r:id="rId1"/>
    <sheet name="Sheet14" sheetId="28" r:id="rId2"/>
    <sheet name="sales data" sheetId="1" r:id="rId3"/>
    <sheet name="Sales by Category" sheetId="6" r:id="rId4"/>
    <sheet name="Total salespi" sheetId="15" r:id="rId5"/>
    <sheet name="Sales by Region" sheetId="3" r:id="rId6"/>
    <sheet name="Total Profit KPI " sheetId="2" r:id="rId7"/>
    <sheet name="Monthly Sales Trend" sheetId="12" r:id="rId8"/>
    <sheet name="Top Products" sheetId="13" r:id="rId9"/>
    <sheet name="Sheet12" sheetId="26" r:id="rId10"/>
  </sheets>
  <definedNames>
    <definedName name="_xlcn.WorksheetConnection_Excel_Sales_Dataset.xlsxSalesData1" hidden="1">SalesData[]</definedName>
    <definedName name="Slicer_Category">#N/A</definedName>
    <definedName name="Slicer_Month">#N/A</definedName>
    <definedName name="Slicer_Region">#N/A</definedName>
  </definedNames>
  <calcPr calcId="191029"/>
  <pivotCaches>
    <pivotCache cacheId="40" r:id="rId11"/>
    <pivotCache cacheId="66"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Data" name="SalesData" connection="WorksheetConnection_Excel_Sales_Dataset.xlsx!Sales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512FDF9-F00A-48DF-987B-4068FC35C95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5086851-9A9C-46F8-A772-89856F23DBE3}" name="WorksheetConnection_Excel_Sales_Dataset.xlsx!SalesData" type="102" refreshedVersion="8" minRefreshableVersion="5">
    <extLst>
      <ext xmlns:x15="http://schemas.microsoft.com/office/spreadsheetml/2010/11/main" uri="{DE250136-89BD-433C-8126-D09CA5730AF9}">
        <x15:connection id="SalesData" autoDelete="1">
          <x15:rangePr sourceName="_xlcn.WorksheetConnection_Excel_Sales_Dataset.xlsxSalesData1"/>
        </x15:connection>
      </ext>
    </extLst>
  </connection>
</connections>
</file>

<file path=xl/sharedStrings.xml><?xml version="1.0" encoding="utf-8"?>
<sst xmlns="http://schemas.openxmlformats.org/spreadsheetml/2006/main" count="551" uniqueCount="129">
  <si>
    <t>Order ID</t>
  </si>
  <si>
    <t>Order Date</t>
  </si>
  <si>
    <t>Category</t>
  </si>
  <si>
    <t>Sub-Category</t>
  </si>
  <si>
    <t>Product Name</t>
  </si>
  <si>
    <t>Region</t>
  </si>
  <si>
    <t>Sales</t>
  </si>
  <si>
    <t>Profit</t>
  </si>
  <si>
    <t>Quantity</t>
  </si>
  <si>
    <t>2025-01-20</t>
  </si>
  <si>
    <t>Technology</t>
  </si>
  <si>
    <t>Phones</t>
  </si>
  <si>
    <t>Smartphone</t>
  </si>
  <si>
    <t>North</t>
  </si>
  <si>
    <t>2025-05-09</t>
  </si>
  <si>
    <t>Laptops</t>
  </si>
  <si>
    <t>Laptop</t>
  </si>
  <si>
    <t>2025-01-13</t>
  </si>
  <si>
    <t>Furniture</t>
  </si>
  <si>
    <t>Tables</t>
  </si>
  <si>
    <t>Study Table</t>
  </si>
  <si>
    <t>South</t>
  </si>
  <si>
    <t>2025-01-26</t>
  </si>
  <si>
    <t>Office Supplies</t>
  </si>
  <si>
    <t>Binders</t>
  </si>
  <si>
    <t>Binder</t>
  </si>
  <si>
    <t>2025-06-26</t>
  </si>
  <si>
    <t>Accessories</t>
  </si>
  <si>
    <t>Mouse</t>
  </si>
  <si>
    <t>2025-05-20</t>
  </si>
  <si>
    <t>2025-06-13</t>
  </si>
  <si>
    <t>2025-02-22</t>
  </si>
  <si>
    <t>West</t>
  </si>
  <si>
    <t>2025-01-12</t>
  </si>
  <si>
    <t>Paper</t>
  </si>
  <si>
    <t>A4 Paper</t>
  </si>
  <si>
    <t>East</t>
  </si>
  <si>
    <t>2025-05-26</t>
  </si>
  <si>
    <t>2025-04-27</t>
  </si>
  <si>
    <t>Bookcases</t>
  </si>
  <si>
    <t>Book Shelf</t>
  </si>
  <si>
    <t>2025-01-30</t>
  </si>
  <si>
    <t>Chairs</t>
  </si>
  <si>
    <t>Office Chair</t>
  </si>
  <si>
    <t>2025-06-07</t>
  </si>
  <si>
    <t>2025-03-13</t>
  </si>
  <si>
    <t>2025-05-10</t>
  </si>
  <si>
    <t>2025-06-03</t>
  </si>
  <si>
    <t>2025-02-06</t>
  </si>
  <si>
    <t>2025-03-05</t>
  </si>
  <si>
    <t>2025-04-14</t>
  </si>
  <si>
    <t>2025-03-12</t>
  </si>
  <si>
    <t>2025-01-04</t>
  </si>
  <si>
    <t>Storage</t>
  </si>
  <si>
    <t>Storage Box</t>
  </si>
  <si>
    <t>2025-01-08</t>
  </si>
  <si>
    <t>2025-02-01</t>
  </si>
  <si>
    <t>2025-06-01</t>
  </si>
  <si>
    <t>2025-04-08</t>
  </si>
  <si>
    <t>2025-02-11</t>
  </si>
  <si>
    <t>2025-02-28</t>
  </si>
  <si>
    <t>2025-04-03</t>
  </si>
  <si>
    <t>2025-01-10</t>
  </si>
  <si>
    <t>2025-02-10</t>
  </si>
  <si>
    <t>2025-02-18</t>
  </si>
  <si>
    <t>2025-03-11</t>
  </si>
  <si>
    <t>2025-03-15</t>
  </si>
  <si>
    <t>2025-01-19</t>
  </si>
  <si>
    <t>2025-03-06</t>
  </si>
  <si>
    <t>2025-01-18</t>
  </si>
  <si>
    <t>2025-05-30</t>
  </si>
  <si>
    <t>2025-06-15</t>
  </si>
  <si>
    <t>2025-06-20</t>
  </si>
  <si>
    <t>2025-06-14</t>
  </si>
  <si>
    <t>2025-01-29</t>
  </si>
  <si>
    <t>2025-04-29</t>
  </si>
  <si>
    <t>2025-05-21</t>
  </si>
  <si>
    <t>2025-04-20</t>
  </si>
  <si>
    <t>2025-06-12</t>
  </si>
  <si>
    <t>2025-03-14</t>
  </si>
  <si>
    <t>2025-01-31</t>
  </si>
  <si>
    <t>2025-03-10</t>
  </si>
  <si>
    <t>2025-02-16</t>
  </si>
  <si>
    <t>2025-01-25</t>
  </si>
  <si>
    <t>2025-06-02</t>
  </si>
  <si>
    <t>2025-06-09</t>
  </si>
  <si>
    <t>2025-01-27</t>
  </si>
  <si>
    <t>2025-06-25</t>
  </si>
  <si>
    <t>2025-01-01</t>
  </si>
  <si>
    <t>2025-03-18</t>
  </si>
  <si>
    <t>2025-05-18</t>
  </si>
  <si>
    <t>2025-05-27</t>
  </si>
  <si>
    <t>2025-01-02</t>
  </si>
  <si>
    <t>2025-02-27</t>
  </si>
  <si>
    <t>2025-06-10</t>
  </si>
  <si>
    <t>2025-05-29</t>
  </si>
  <si>
    <t>2025-04-23</t>
  </si>
  <si>
    <t>2025-02-25</t>
  </si>
  <si>
    <t>2025-01-23</t>
  </si>
  <si>
    <t>2025-02-04</t>
  </si>
  <si>
    <t>2025-01-05</t>
  </si>
  <si>
    <t>2025-01-14</t>
  </si>
  <si>
    <t>2025-01-07</t>
  </si>
  <si>
    <t>2025-03-26</t>
  </si>
  <si>
    <t>2025-06-08</t>
  </si>
  <si>
    <t>2025-03-21</t>
  </si>
  <si>
    <t>2025-01-03</t>
  </si>
  <si>
    <t>2025-01-22</t>
  </si>
  <si>
    <t>2025-05-14</t>
  </si>
  <si>
    <t>2025-06-30</t>
  </si>
  <si>
    <t>2025-06-05</t>
  </si>
  <si>
    <t>2025-02-07</t>
  </si>
  <si>
    <t>2025-03-29</t>
  </si>
  <si>
    <t>Sum of Sales</t>
  </si>
  <si>
    <t>Sum of Profit</t>
  </si>
  <si>
    <t>Row Labels</t>
  </si>
  <si>
    <t>Grand Total</t>
  </si>
  <si>
    <t>Month</t>
  </si>
  <si>
    <t>December</t>
  </si>
  <si>
    <t>January</t>
  </si>
  <si>
    <t>November</t>
  </si>
  <si>
    <t>October</t>
  </si>
  <si>
    <t>September</t>
  </si>
  <si>
    <t>month</t>
  </si>
  <si>
    <t>TOTAL SALE</t>
  </si>
  <si>
    <t>TOTAL PROFIT</t>
  </si>
  <si>
    <t>Sum of Order ID</t>
  </si>
  <si>
    <t xml:space="preserve">TOTAL ORDER </t>
  </si>
  <si>
    <t xml:space="preserve">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</si>
</sst>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39]#,##0.00"/>
    <numFmt numFmtId="165" formatCode="[$₹-449]\ #,##0.00"/>
    <numFmt numFmtId="166" formatCode="[$₹-860]\ #,##0.00"/>
  </numFmts>
  <fonts count="7" x14ac:knownFonts="1">
    <font>
      <sz val="11"/>
      <color theme="1"/>
      <name val="Calibri"/>
      <family val="2"/>
      <scheme val="minor"/>
    </font>
    <font>
      <b/>
      <sz val="11"/>
      <color theme="1"/>
      <name val="Calibri"/>
      <family val="2"/>
      <scheme val="minor"/>
    </font>
    <font>
      <b/>
      <sz val="20"/>
      <color theme="1"/>
      <name val="Calibri"/>
      <family val="2"/>
      <scheme val="minor"/>
    </font>
    <font>
      <b/>
      <sz val="14"/>
      <color theme="1"/>
      <name val="Calibri"/>
      <family val="2"/>
      <scheme val="minor"/>
    </font>
    <font>
      <b/>
      <sz val="22"/>
      <color theme="1"/>
      <name val="Calibri"/>
      <family val="2"/>
      <scheme val="minor"/>
    </font>
    <font>
      <sz val="20"/>
      <color theme="1"/>
      <name val="Calibri"/>
      <family val="2"/>
      <scheme val="minor"/>
    </font>
    <font>
      <b/>
      <sz val="26"/>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9" tint="-0.249977111117893"/>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6">
    <xf numFmtId="0" fontId="0" fillId="0" borderId="0" xfId="0"/>
    <xf numFmtId="0" fontId="1" fillId="2" borderId="1" xfId="0" applyFont="1" applyFill="1" applyBorder="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64" fontId="4" fillId="0" borderId="0" xfId="0" applyNumberFormat="1" applyFont="1"/>
    <xf numFmtId="166" fontId="4" fillId="0" borderId="0" xfId="0" applyNumberFormat="1" applyFont="1"/>
    <xf numFmtId="0" fontId="5" fillId="0" borderId="0" xfId="0" applyFont="1" applyAlignment="1">
      <alignment horizontal="left"/>
    </xf>
    <xf numFmtId="0" fontId="2" fillId="0" borderId="0" xfId="0" applyFont="1" applyAlignment="1">
      <alignment horizontal="left"/>
    </xf>
    <xf numFmtId="0" fontId="0" fillId="0" borderId="0" xfId="0" applyNumberFormat="1"/>
    <xf numFmtId="3" fontId="4" fillId="0" borderId="0" xfId="0" applyNumberFormat="1" applyFont="1"/>
    <xf numFmtId="0" fontId="0" fillId="3" borderId="0" xfId="0" applyFill="1"/>
    <xf numFmtId="0" fontId="6" fillId="3" borderId="0" xfId="0" applyFont="1" applyFill="1"/>
    <xf numFmtId="0" fontId="3" fillId="3" borderId="0" xfId="0" applyFont="1" applyFill="1"/>
  </cellXfs>
  <cellStyles count="1">
    <cellStyle name="Normal" xfId="0" builtinId="0"/>
  </cellStyles>
  <dxfs count="28">
    <dxf>
      <font>
        <color theme="1"/>
      </font>
    </dxf>
    <dxf>
      <font>
        <color theme="1"/>
      </font>
    </dxf>
    <dxf>
      <font>
        <color theme="1"/>
      </font>
    </dxf>
    <dxf>
      <fill>
        <patternFill>
          <bgColor theme="9" tint="-0.249977111117893"/>
        </patternFill>
      </fill>
    </dxf>
    <dxf>
      <fill>
        <patternFill>
          <bgColor theme="9" tint="-0.249977111117893"/>
        </patternFill>
      </fill>
    </dxf>
    <dxf>
      <fill>
        <patternFill>
          <bgColor theme="9" tint="-0.249977111117893"/>
        </patternFill>
      </fill>
    </dxf>
    <dxf>
      <font>
        <color theme="0"/>
      </font>
    </dxf>
    <dxf>
      <font>
        <color theme="0"/>
      </font>
    </dxf>
    <dxf>
      <font>
        <color theme="0"/>
      </font>
    </dxf>
    <dxf>
      <fill>
        <patternFill patternType="solid">
          <bgColor theme="3"/>
        </patternFill>
      </fill>
    </dxf>
    <dxf>
      <fill>
        <patternFill patternType="solid">
          <bgColor theme="3"/>
        </patternFill>
      </fill>
    </dxf>
    <dxf>
      <fill>
        <patternFill patternType="solid">
          <bgColor theme="3"/>
        </patternFill>
      </fill>
    </dxf>
    <dxf>
      <numFmt numFmtId="3" formatCode="#,##0"/>
    </dxf>
    <dxf>
      <numFmt numFmtId="4" formatCode="#,##0.00"/>
    </dxf>
    <dxf>
      <font>
        <color rgb="FF9C0006"/>
      </font>
      <fill>
        <patternFill>
          <bgColor rgb="FFFFC7CE"/>
        </patternFill>
      </fill>
    </dxf>
    <dxf>
      <numFmt numFmtId="0" formatCode="General"/>
    </dxf>
    <dxf>
      <font>
        <b/>
      </font>
    </dxf>
    <dxf>
      <font>
        <sz val="14"/>
      </font>
    </dxf>
    <dxf>
      <font>
        <b/>
      </font>
    </dxf>
    <dxf>
      <font>
        <sz val="22"/>
      </font>
    </dxf>
    <dxf>
      <font>
        <b/>
      </font>
    </dxf>
    <dxf>
      <font>
        <sz val="22"/>
      </font>
    </dxf>
    <dxf>
      <font>
        <b/>
      </font>
    </dxf>
    <dxf>
      <font>
        <sz val="14"/>
      </font>
    </dxf>
    <dxf>
      <font>
        <sz val="22"/>
      </font>
    </dxf>
    <dxf>
      <font>
        <b/>
      </font>
    </dxf>
    <dxf>
      <font>
        <b/>
      </font>
    </dxf>
    <dxf>
      <font>
        <sz val="14"/>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t>SALES</a:t>
            </a:r>
            <a:r>
              <a:rPr lang="en-US" sz="1800" b="1" baseline="0"/>
              <a:t> BY REGION</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bg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bg1"/>
            </a:solidFill>
            <a:ln>
              <a:noFill/>
            </a:ln>
            <a:effectLst/>
            <a:sp3d/>
          </c:spPr>
          <c:invertIfNegative val="0"/>
          <c:cat>
            <c:strLit>
              <c:ptCount val="4"/>
              <c:pt idx="0">
                <c:v>East</c:v>
              </c:pt>
              <c:pt idx="1">
                <c:v>North</c:v>
              </c:pt>
              <c:pt idx="2">
                <c:v>South</c:v>
              </c:pt>
              <c:pt idx="3">
                <c:v>West</c:v>
              </c:pt>
            </c:strLit>
          </c:cat>
          <c:val>
            <c:numLit>
              <c:formatCode>General</c:formatCode>
              <c:ptCount val="4"/>
              <c:pt idx="0">
                <c:v>224646</c:v>
              </c:pt>
              <c:pt idx="1">
                <c:v>217020</c:v>
              </c:pt>
              <c:pt idx="2">
                <c:v>318786</c:v>
              </c:pt>
              <c:pt idx="3">
                <c:v>302787</c:v>
              </c:pt>
            </c:numLit>
          </c:val>
          <c:extLst>
            <c:ext xmlns:c16="http://schemas.microsoft.com/office/drawing/2014/chart" uri="{C3380CC4-5D6E-409C-BE32-E72D297353CC}">
              <c16:uniqueId val="{00000000-D16F-4A95-BF9F-9282E2A33AC3}"/>
            </c:ext>
          </c:extLst>
        </c:ser>
        <c:dLbls>
          <c:showLegendKey val="0"/>
          <c:showVal val="0"/>
          <c:showCatName val="0"/>
          <c:showSerName val="0"/>
          <c:showPercent val="0"/>
          <c:showBubbleSize val="0"/>
        </c:dLbls>
        <c:gapWidth val="219"/>
        <c:shape val="box"/>
        <c:axId val="1146772592"/>
        <c:axId val="1146714032"/>
        <c:axId val="0"/>
      </c:bar3DChart>
      <c:catAx>
        <c:axId val="114677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146714032"/>
        <c:crosses val="autoZero"/>
        <c:auto val="1"/>
        <c:lblAlgn val="ctr"/>
        <c:lblOffset val="100"/>
        <c:noMultiLvlLbl val="0"/>
      </c:catAx>
      <c:valAx>
        <c:axId val="1146714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14677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SALES</a:t>
            </a:r>
            <a:r>
              <a:rPr lang="en-US" sz="1800" b="1" baseline="0">
                <a:solidFill>
                  <a:schemeClr val="tx1"/>
                </a:solidFill>
              </a:rPr>
              <a:t> BY CATEGORY</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v>Total</c:v>
          </c:tx>
          <c:dPt>
            <c:idx val="0"/>
            <c:bubble3D val="0"/>
            <c:spPr>
              <a:solidFill>
                <a:schemeClr val="accent6">
                  <a:tint val="65000"/>
                </a:schemeClr>
              </a:solidFill>
              <a:ln w="19050">
                <a:solidFill>
                  <a:schemeClr val="lt1"/>
                </a:solidFill>
              </a:ln>
              <a:effectLst/>
            </c:spPr>
          </c:dPt>
          <c:dPt>
            <c:idx val="1"/>
            <c:bubble3D val="0"/>
            <c:spPr>
              <a:solidFill>
                <a:schemeClr val="accent6"/>
              </a:solidFill>
              <a:ln w="19050">
                <a:solidFill>
                  <a:schemeClr val="lt1"/>
                </a:solidFill>
              </a:ln>
              <a:effectLst/>
            </c:spPr>
          </c:dPt>
          <c:dPt>
            <c:idx val="2"/>
            <c:bubble3D val="0"/>
            <c:spPr>
              <a:solidFill>
                <a:schemeClr val="accent6">
                  <a:shade val="65000"/>
                </a:schemeClr>
              </a:solidFill>
              <a:ln w="19050">
                <a:solidFill>
                  <a:schemeClr val="lt1"/>
                </a:solidFill>
              </a:ln>
              <a:effectLst/>
            </c:spPr>
          </c:dPt>
          <c:cat>
            <c:strLit>
              <c:ptCount val="3"/>
              <c:pt idx="0">
                <c:v>Office Supplies</c:v>
              </c:pt>
              <c:pt idx="1">
                <c:v>Furniture</c:v>
              </c:pt>
              <c:pt idx="2">
                <c:v>Technology</c:v>
              </c:pt>
            </c:strLit>
          </c:cat>
          <c:val>
            <c:numLit>
              <c:formatCode>General</c:formatCode>
              <c:ptCount val="3"/>
              <c:pt idx="0">
                <c:v>431120</c:v>
              </c:pt>
              <c:pt idx="1">
                <c:v>333457</c:v>
              </c:pt>
              <c:pt idx="2">
                <c:v>298662</c:v>
              </c:pt>
            </c:numLit>
          </c:val>
          <c:extLst>
            <c:ext xmlns:c16="http://schemas.microsoft.com/office/drawing/2014/chart" uri="{C3380CC4-5D6E-409C-BE32-E72D297353CC}">
              <c16:uniqueId val="{00000000-0AB7-41C6-AE20-9429797F13E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MONTHLY</a:t>
            </a:r>
            <a:r>
              <a:rPr lang="en-US" sz="1800" b="1" baseline="0">
                <a:solidFill>
                  <a:schemeClr val="tx1"/>
                </a:solidFill>
              </a:rPr>
              <a:t> SALES TREND</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bg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v>Total</c:v>
          </c:tx>
          <c:spPr>
            <a:solidFill>
              <a:schemeClr val="bg1"/>
            </a:solidFill>
            <a:ln>
              <a:noFill/>
            </a:ln>
            <a:effectLst/>
            <a:sp3d/>
          </c:spPr>
          <c:cat>
            <c:strLit>
              <c:ptCount val="5"/>
              <c:pt idx="0">
                <c:v>January</c:v>
              </c:pt>
              <c:pt idx="1">
                <c:v>September</c:v>
              </c:pt>
              <c:pt idx="2">
                <c:v>October</c:v>
              </c:pt>
              <c:pt idx="3">
                <c:v>November</c:v>
              </c:pt>
              <c:pt idx="4">
                <c:v>December</c:v>
              </c:pt>
            </c:strLit>
          </c:cat>
          <c:val>
            <c:numLit>
              <c:formatCode>General</c:formatCode>
              <c:ptCount val="5"/>
              <c:pt idx="0">
                <c:v>30563</c:v>
              </c:pt>
              <c:pt idx="1">
                <c:v>26181</c:v>
              </c:pt>
              <c:pt idx="2">
                <c:v>333007</c:v>
              </c:pt>
              <c:pt idx="3">
                <c:v>316416</c:v>
              </c:pt>
              <c:pt idx="4">
                <c:v>357072</c:v>
              </c:pt>
            </c:numLit>
          </c:val>
          <c:extLst>
            <c:ext xmlns:c16="http://schemas.microsoft.com/office/drawing/2014/chart" uri="{C3380CC4-5D6E-409C-BE32-E72D297353CC}">
              <c16:uniqueId val="{00000000-EEAE-4B0E-9788-E943FB7053C3}"/>
            </c:ext>
          </c:extLst>
        </c:ser>
        <c:dLbls>
          <c:showLegendKey val="0"/>
          <c:showVal val="0"/>
          <c:showCatName val="0"/>
          <c:showSerName val="0"/>
          <c:showPercent val="0"/>
          <c:showBubbleSize val="0"/>
        </c:dLbls>
        <c:axId val="1146709232"/>
        <c:axId val="1146711152"/>
        <c:axId val="0"/>
      </c:area3DChart>
      <c:catAx>
        <c:axId val="11467092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46711152"/>
        <c:crosses val="autoZero"/>
        <c:auto val="1"/>
        <c:lblAlgn val="ctr"/>
        <c:lblOffset val="100"/>
        <c:noMultiLvlLbl val="0"/>
      </c:catAx>
      <c:valAx>
        <c:axId val="114671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146709232"/>
        <c:crosses val="autoZero"/>
        <c:crossBetween val="midCat"/>
      </c:valAx>
      <c:spPr>
        <a:noFill/>
        <a:ln>
          <a:noFill/>
        </a:ln>
        <a:effectLst/>
      </c:spPr>
    </c:plotArea>
    <c:legend>
      <c:legendPos val="r"/>
      <c:overlay val="0"/>
      <c:spPr>
        <a:solidFill>
          <a:sysClr val="window" lastClr="FFFFFF"/>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TOP</a:t>
            </a:r>
            <a:r>
              <a:rPr lang="en-US" sz="1800" b="1" baseline="0">
                <a:solidFill>
                  <a:schemeClr val="tx1"/>
                </a:solidFill>
              </a:rPr>
              <a:t> PRODUCT</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bg1"/>
            </a:solidFill>
            <a:ln>
              <a:noFill/>
            </a:ln>
            <a:effectLst/>
          </c:spPr>
          <c:invertIfNegative val="0"/>
          <c:cat>
            <c:strLit>
              <c:ptCount val="9"/>
              <c:pt idx="0">
                <c:v>Storage Box</c:v>
              </c:pt>
              <c:pt idx="1">
                <c:v>Book Shelf</c:v>
              </c:pt>
              <c:pt idx="2">
                <c:v>Laptop</c:v>
              </c:pt>
              <c:pt idx="3">
                <c:v>A4 Paper</c:v>
              </c:pt>
              <c:pt idx="4">
                <c:v>Study Table</c:v>
              </c:pt>
              <c:pt idx="5">
                <c:v>Binder</c:v>
              </c:pt>
              <c:pt idx="6">
                <c:v>Mouse</c:v>
              </c:pt>
              <c:pt idx="7">
                <c:v>Smartphone</c:v>
              </c:pt>
              <c:pt idx="8">
                <c:v>Office Chair</c:v>
              </c:pt>
            </c:strLit>
          </c:cat>
          <c:val>
            <c:numLit>
              <c:formatCode>General</c:formatCode>
              <c:ptCount val="9"/>
              <c:pt idx="0">
                <c:v>199034</c:v>
              </c:pt>
              <c:pt idx="1">
                <c:v>164299</c:v>
              </c:pt>
              <c:pt idx="2">
                <c:v>127800</c:v>
              </c:pt>
              <c:pt idx="3">
                <c:v>126257</c:v>
              </c:pt>
              <c:pt idx="4">
                <c:v>125330</c:v>
              </c:pt>
              <c:pt idx="5">
                <c:v>105829</c:v>
              </c:pt>
              <c:pt idx="6">
                <c:v>103043</c:v>
              </c:pt>
              <c:pt idx="7">
                <c:v>67819</c:v>
              </c:pt>
              <c:pt idx="8">
                <c:v>43828</c:v>
              </c:pt>
            </c:numLit>
          </c:val>
          <c:extLst>
            <c:ext xmlns:c16="http://schemas.microsoft.com/office/drawing/2014/chart" uri="{C3380CC4-5D6E-409C-BE32-E72D297353CC}">
              <c16:uniqueId val="{00000000-AE9B-44E4-84D9-B9236F33BE08}"/>
            </c:ext>
          </c:extLst>
        </c:ser>
        <c:dLbls>
          <c:showLegendKey val="0"/>
          <c:showVal val="0"/>
          <c:showCatName val="0"/>
          <c:showSerName val="0"/>
          <c:showPercent val="0"/>
          <c:showBubbleSize val="0"/>
        </c:dLbls>
        <c:gapWidth val="182"/>
        <c:axId val="482116688"/>
        <c:axId val="482117168"/>
      </c:barChart>
      <c:catAx>
        <c:axId val="48211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482117168"/>
        <c:crosses val="autoZero"/>
        <c:auto val="1"/>
        <c:lblAlgn val="ctr"/>
        <c:lblOffset val="100"/>
        <c:noMultiLvlLbl val="0"/>
      </c:catAx>
      <c:valAx>
        <c:axId val="482117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482116688"/>
        <c:crosses val="autoZero"/>
        <c:crossBetween val="between"/>
      </c:valAx>
      <c:spPr>
        <a:noFill/>
        <a:ln>
          <a:noFill/>
        </a:ln>
        <a:effectLst/>
      </c:spPr>
    </c:plotArea>
    <c:legend>
      <c:legendPos val="r"/>
      <c:overlay val="0"/>
      <c:spPr>
        <a:solidFill>
          <a:sysClr val="window" lastClr="FFFFFF"/>
        </a:solid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502920</xdr:colOff>
      <xdr:row>4</xdr:row>
      <xdr:rowOff>76200</xdr:rowOff>
    </xdr:from>
    <xdr:to>
      <xdr:col>11</xdr:col>
      <xdr:colOff>502920</xdr:colOff>
      <xdr:row>17</xdr:row>
      <xdr:rowOff>165735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442CF889-A07B-051F-C6BA-78B074DD761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821680" y="807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373380</xdr:colOff>
      <xdr:row>7</xdr:row>
      <xdr:rowOff>7620</xdr:rowOff>
    </xdr:from>
    <xdr:to>
      <xdr:col>12</xdr:col>
      <xdr:colOff>373380</xdr:colOff>
      <xdr:row>20</xdr:row>
      <xdr:rowOff>97155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247283D9-FAA0-5AC2-B960-03AD986BC8F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301740" y="1287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243840</xdr:colOff>
      <xdr:row>10</xdr:row>
      <xdr:rowOff>153116</xdr:rowOff>
    </xdr:from>
    <xdr:to>
      <xdr:col>13</xdr:col>
      <xdr:colOff>243840</xdr:colOff>
      <xdr:row>21</xdr:row>
      <xdr:rowOff>180259</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799CF14E-75A4-B834-348C-E22BB639725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781800" y="1981916"/>
              <a:ext cx="1828800" cy="2038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17058</xdr:colOff>
      <xdr:row>8</xdr:row>
      <xdr:rowOff>10235</xdr:rowOff>
    </xdr:from>
    <xdr:to>
      <xdr:col>7</xdr:col>
      <xdr:colOff>966715</xdr:colOff>
      <xdr:row>22</xdr:row>
      <xdr:rowOff>181969</xdr:rowOff>
    </xdr:to>
    <xdr:graphicFrame macro="">
      <xdr:nvGraphicFramePr>
        <xdr:cNvPr id="2" name="Chart 1">
          <a:extLst>
            <a:ext uri="{FF2B5EF4-FFF2-40B4-BE49-F238E27FC236}">
              <a16:creationId xmlns:a16="http://schemas.microsoft.com/office/drawing/2014/main" id="{2DD02218-AB18-72CD-9F51-DD19E5216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966716</xdr:colOff>
      <xdr:row>8</xdr:row>
      <xdr:rowOff>0</xdr:rowOff>
    </xdr:from>
    <xdr:to>
      <xdr:col>10</xdr:col>
      <xdr:colOff>-1</xdr:colOff>
      <xdr:row>22</xdr:row>
      <xdr:rowOff>170597</xdr:rowOff>
    </xdr:to>
    <xdr:graphicFrame macro="">
      <xdr:nvGraphicFramePr>
        <xdr:cNvPr id="3" name="Chart 2">
          <a:extLst>
            <a:ext uri="{FF2B5EF4-FFF2-40B4-BE49-F238E27FC236}">
              <a16:creationId xmlns:a16="http://schemas.microsoft.com/office/drawing/2014/main" id="{0957D79F-A026-9A5C-9F92-7D48AE4AC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17058</xdr:colOff>
      <xdr:row>22</xdr:row>
      <xdr:rowOff>180833</xdr:rowOff>
    </xdr:from>
    <xdr:to>
      <xdr:col>10</xdr:col>
      <xdr:colOff>-1</xdr:colOff>
      <xdr:row>39</xdr:row>
      <xdr:rowOff>22746</xdr:rowOff>
    </xdr:to>
    <xdr:graphicFrame macro="">
      <xdr:nvGraphicFramePr>
        <xdr:cNvPr id="4" name="Chart 3">
          <a:extLst>
            <a:ext uri="{FF2B5EF4-FFF2-40B4-BE49-F238E27FC236}">
              <a16:creationId xmlns:a16="http://schemas.microsoft.com/office/drawing/2014/main" id="{36A997C8-EE62-02E5-6C37-C00E191F1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17059</xdr:colOff>
      <xdr:row>39</xdr:row>
      <xdr:rowOff>36394</xdr:rowOff>
    </xdr:from>
    <xdr:to>
      <xdr:col>9</xdr:col>
      <xdr:colOff>1796955</xdr:colOff>
      <xdr:row>54</xdr:row>
      <xdr:rowOff>22746</xdr:rowOff>
    </xdr:to>
    <xdr:graphicFrame macro="">
      <xdr:nvGraphicFramePr>
        <xdr:cNvPr id="5" name="Chart 4">
          <a:extLst>
            <a:ext uri="{FF2B5EF4-FFF2-40B4-BE49-F238E27FC236}">
              <a16:creationId xmlns:a16="http://schemas.microsoft.com/office/drawing/2014/main" id="{EA2C5884-F72A-4352-B6C6-A438420B8B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601870</xdr:colOff>
      <xdr:row>54</xdr:row>
      <xdr:rowOff>16566</xdr:rowOff>
    </xdr:from>
    <xdr:to>
      <xdr:col>6</xdr:col>
      <xdr:colOff>1579217</xdr:colOff>
      <xdr:row>64</xdr:row>
      <xdr:rowOff>26581</xdr:rowOff>
    </xdr:to>
    <mc:AlternateContent xmlns:mc="http://schemas.openxmlformats.org/markup-compatibility/2006">
      <mc:Choice xmlns:a14="http://schemas.microsoft.com/office/drawing/2010/main" Requires="a14">
        <xdr:graphicFrame macro="">
          <xdr:nvGraphicFramePr>
            <xdr:cNvPr id="6" name="Month 1">
              <a:extLst>
                <a:ext uri="{FF2B5EF4-FFF2-40B4-BE49-F238E27FC236}">
                  <a16:creationId xmlns:a16="http://schemas.microsoft.com/office/drawing/2014/main" id="{ED8C1DAB-5CB0-4767-94CD-0AF813EABE0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051156" y="10208316"/>
              <a:ext cx="3168097" cy="1778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1584738</xdr:colOff>
      <xdr:row>54</xdr:row>
      <xdr:rowOff>22087</xdr:rowOff>
    </xdr:from>
    <xdr:to>
      <xdr:col>8</xdr:col>
      <xdr:colOff>695740</xdr:colOff>
      <xdr:row>64</xdr:row>
      <xdr:rowOff>27608</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18129F8C-4E31-4CD0-A319-B918087453F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224774" y="10213837"/>
              <a:ext cx="2852966" cy="177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701261</xdr:colOff>
      <xdr:row>54</xdr:row>
      <xdr:rowOff>22087</xdr:rowOff>
    </xdr:from>
    <xdr:to>
      <xdr:col>9</xdr:col>
      <xdr:colOff>1800088</xdr:colOff>
      <xdr:row>64</xdr:row>
      <xdr:rowOff>33130</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7101F82F-CC8A-4674-9E5B-3C7A56669B6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9083261" y="10213837"/>
              <a:ext cx="2731684" cy="17799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dra" refreshedDate="46225.851897685185" backgroundQuery="1" createdVersion="8" refreshedVersion="8" minRefreshableVersion="3" recordCount="0" supportSubquery="1" supportAdvancedDrill="1" xr:uid="{C1034F74-1B18-4E4B-898A-4347B8D07B57}">
  <cacheSource type="external" connectionId="1"/>
  <cacheFields count="3">
    <cacheField name="[SalesData].[Month].[Month]" caption="Month" numFmtId="0" hierarchy="9" level="1">
      <sharedItems count="5">
        <s v="December"/>
        <s v="January"/>
        <s v="November"/>
        <s v="October"/>
        <s v="September"/>
      </sharedItems>
    </cacheField>
    <cacheField name="[Measures].[Sum of Sales]" caption="Sum of Sales" numFmtId="0" hierarchy="12" level="32767"/>
    <cacheField name="[SalesData].[Region].[Region]" caption="Region" numFmtId="0" hierarchy="5" level="1">
      <sharedItems containsSemiMixedTypes="0" containsNonDate="0" containsString="0"/>
    </cacheField>
  </cacheFields>
  <cacheHierarchies count="13">
    <cacheHierarchy uniqueName="[SalesData].[Order ID]" caption="Order ID" attribute="1" defaultMemberUniqueName="[SalesData].[Order ID].[All]" allUniqueName="[SalesData].[Order ID].[All]" dimensionUniqueName="[SalesData]" displayFolder="" count="0" memberValueDatatype="20" unbalanced="0"/>
    <cacheHierarchy uniqueName="[SalesData].[Order Date]" caption="Order Date" attribute="1" defaultMemberUniqueName="[SalesData].[Order Date].[All]" allUniqueName="[SalesData].[Order Date].[All]" dimensionUniqueName="[SalesData]" displayFolder="" count="0" memberValueDatatype="130" unbalanced="0"/>
    <cacheHierarchy uniqueName="[SalesData].[Category]" caption="Category" attribute="1" defaultMemberUniqueName="[SalesData].[Category].[All]" allUniqueName="[SalesData].[Category].[All]" dimensionUniqueName="[SalesData]" displayFolder="" count="0" memberValueDatatype="130" unbalanced="0"/>
    <cacheHierarchy uniqueName="[SalesData].[Sub-Category]" caption="Sub-Category" attribute="1" defaultMemberUniqueName="[SalesData].[Sub-Category].[All]" allUniqueName="[SalesData].[Sub-Category].[All]" dimensionUniqueName="[SalesData]" displayFolder="" count="0" memberValueDatatype="130" unbalanced="0"/>
    <cacheHierarchy uniqueName="[SalesData].[Product Name]" caption="Product Name" attribute="1" defaultMemberUniqueName="[SalesData].[Product Name].[All]" allUniqueName="[SalesData].[Product Name].[All]" dimensionUniqueName="[SalesData]" displayFolder="" count="0" memberValueDatatype="130" unbalanced="0"/>
    <cacheHierarchy uniqueName="[SalesData].[Region]" caption="Region" attribute="1" defaultMemberUniqueName="[SalesData].[Region].[All]" allUniqueName="[SalesData].[Region].[All]" dimensionUniqueName="[SalesData]" displayFolder="" count="2" memberValueDatatype="130" unbalanced="0">
      <fieldsUsage count="2">
        <fieldUsage x="-1"/>
        <fieldUsage x="2"/>
      </fieldsUsage>
    </cacheHierarchy>
    <cacheHierarchy uniqueName="[SalesData].[Sales]" caption="Sales" attribute="1" defaultMemberUniqueName="[SalesData].[Sales].[All]" allUniqueName="[SalesData].[Sales].[All]" dimensionUniqueName="[SalesData]" displayFolder="" count="0" memberValueDatatype="20" unbalanced="0"/>
    <cacheHierarchy uniqueName="[SalesData].[Profit]" caption="Profit" attribute="1" defaultMemberUniqueName="[SalesData].[Profit].[All]" allUniqueName="[SalesData].[Profit].[All]" dimensionUniqueName="[SalesData]" displayFolder="" count="0" memberValueDatatype="20" unbalanced="0"/>
    <cacheHierarchy uniqueName="[SalesData].[Quantity]" caption="Quantity" attribute="1" defaultMemberUniqueName="[SalesData].[Quantity].[All]" allUniqueName="[SalesData].[Quantity].[All]" dimensionUniqueName="[SalesData]" displayFolder="" count="0" memberValueDatatype="20" unbalanced="0"/>
    <cacheHierarchy uniqueName="[SalesData].[Month]" caption="Month" attribute="1" defaultMemberUniqueName="[SalesData].[Month].[All]" allUniqueName="[SalesData].[Month].[All]" dimensionUniqueName="[SalesData]" displayFolder="" count="2" memberValueDatatype="130" unbalanced="0">
      <fieldsUsage count="2">
        <fieldUsage x="-1"/>
        <fieldUsage x="0"/>
      </fieldsUsage>
    </cacheHierarchy>
    <cacheHierarchy uniqueName="[Measures].[__XL_Count SalesData]" caption="__XL_Count SalesData" measure="1" displayFolder="" measureGroup="SalesData" count="0" hidden="1"/>
    <cacheHierarchy uniqueName="[Measures].[__No measures defined]" caption="__No measures defined" measure="1" displayFolder="" count="0" hidden="1"/>
    <cacheHierarchy uniqueName="[Measures].[Sum of Sales]" caption="Sum of Sales" measure="1" displayFolder="" measureGroup="SalesData"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alesData" uniqueName="[SalesData]" caption="SalesData"/>
  </dimensions>
  <measureGroups count="1">
    <measureGroup name="SalesData" caption="SalesData"/>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dra" refreshedDate="46225.852132986111" createdVersion="8" refreshedVersion="8" minRefreshableVersion="3" recordCount="100" xr:uid="{54895E73-EDFB-4445-947F-0C1D55BD107B}">
  <cacheSource type="worksheet">
    <worksheetSource name="SalesData"/>
  </cacheSource>
  <cacheFields count="10">
    <cacheField name="Order ID" numFmtId="0">
      <sharedItems containsSemiMixedTypes="0" containsString="0" containsNumber="1" containsInteger="1" minValue="1001" maxValue="1100"/>
    </cacheField>
    <cacheField name="Order Date" numFmtId="0">
      <sharedItems/>
    </cacheField>
    <cacheField name="Category" numFmtId="0">
      <sharedItems count="3">
        <s v="Technology"/>
        <s v="Furniture"/>
        <s v="Office Supplies"/>
      </sharedItems>
    </cacheField>
    <cacheField name="Sub-Category" numFmtId="0">
      <sharedItems/>
    </cacheField>
    <cacheField name="Product Name" numFmtId="0">
      <sharedItems count="9">
        <s v="Smartphone"/>
        <s v="Laptop"/>
        <s v="Study Table"/>
        <s v="Binder"/>
        <s v="Mouse"/>
        <s v="A4 Paper"/>
        <s v="Book Shelf"/>
        <s v="Office Chair"/>
        <s v="Storage Box"/>
      </sharedItems>
    </cacheField>
    <cacheField name="Region" numFmtId="0">
      <sharedItems count="4">
        <s v="North"/>
        <s v="South"/>
        <s v="West"/>
        <s v="East"/>
      </sharedItems>
    </cacheField>
    <cacheField name="Sales" numFmtId="0">
      <sharedItems containsSemiMixedTypes="0" containsString="0" containsNumber="1" containsInteger="1" minValue="1493" maxValue="19971"/>
    </cacheField>
    <cacheField name="Profit" numFmtId="0">
      <sharedItems containsSemiMixedTypes="0" containsString="0" containsNumber="1" containsInteger="1" minValue="-411" maxValue="4973"/>
    </cacheField>
    <cacheField name="Quantity" numFmtId="0">
      <sharedItems containsSemiMixedTypes="0" containsString="0" containsNumber="1" containsInteger="1" minValue="1" maxValue="10"/>
    </cacheField>
    <cacheField name="Month" numFmtId="0">
      <sharedItems count="5">
        <s v="September"/>
        <s v="October"/>
        <s v="November"/>
        <s v="December"/>
        <s v="January"/>
      </sharedItems>
    </cacheField>
  </cacheFields>
  <extLst>
    <ext xmlns:x14="http://schemas.microsoft.com/office/spreadsheetml/2009/9/main" uri="{725AE2AE-9491-48be-B2B4-4EB974FC3084}">
      <x14:pivotCacheDefinition pivotCacheId="6609096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001"/>
    <s v="2025-01-20"/>
    <x v="0"/>
    <s v="Phones"/>
    <x v="0"/>
    <x v="0"/>
    <n v="7087"/>
    <n v="1013"/>
    <n v="1"/>
    <x v="0"/>
  </r>
  <r>
    <n v="1002"/>
    <s v="2025-05-09"/>
    <x v="0"/>
    <s v="Laptops"/>
    <x v="1"/>
    <x v="0"/>
    <n v="2197"/>
    <n v="3992"/>
    <n v="7"/>
    <x v="0"/>
  </r>
  <r>
    <n v="1003"/>
    <s v="2025-01-13"/>
    <x v="1"/>
    <s v="Tables"/>
    <x v="2"/>
    <x v="1"/>
    <n v="8041"/>
    <n v="4178"/>
    <n v="5"/>
    <x v="0"/>
  </r>
  <r>
    <n v="1004"/>
    <s v="2025-01-26"/>
    <x v="2"/>
    <s v="Binders"/>
    <x v="3"/>
    <x v="0"/>
    <n v="8856"/>
    <n v="4973"/>
    <n v="9"/>
    <x v="0"/>
  </r>
  <r>
    <n v="1005"/>
    <s v="2025-06-26"/>
    <x v="0"/>
    <s v="Accessories"/>
    <x v="4"/>
    <x v="1"/>
    <n v="10128"/>
    <n v="2096"/>
    <n v="1"/>
    <x v="1"/>
  </r>
  <r>
    <n v="1006"/>
    <s v="2025-05-20"/>
    <x v="2"/>
    <s v="Binders"/>
    <x v="3"/>
    <x v="1"/>
    <n v="10147"/>
    <n v="103"/>
    <n v="6"/>
    <x v="1"/>
  </r>
  <r>
    <n v="1007"/>
    <s v="2025-06-13"/>
    <x v="0"/>
    <s v="Accessories"/>
    <x v="4"/>
    <x v="0"/>
    <n v="4639"/>
    <n v="3719"/>
    <n v="7"/>
    <x v="1"/>
  </r>
  <r>
    <n v="1008"/>
    <s v="2025-02-22"/>
    <x v="0"/>
    <s v="Laptops"/>
    <x v="1"/>
    <x v="2"/>
    <n v="10165"/>
    <n v="2085"/>
    <n v="4"/>
    <x v="1"/>
  </r>
  <r>
    <n v="1009"/>
    <s v="2025-01-12"/>
    <x v="2"/>
    <s v="Paper"/>
    <x v="5"/>
    <x v="3"/>
    <n v="14113"/>
    <n v="1004"/>
    <n v="1"/>
    <x v="1"/>
  </r>
  <r>
    <n v="1010"/>
    <s v="2025-05-26"/>
    <x v="2"/>
    <s v="Paper"/>
    <x v="5"/>
    <x v="0"/>
    <n v="9660"/>
    <n v="4556"/>
    <n v="8"/>
    <x v="1"/>
  </r>
  <r>
    <n v="1011"/>
    <s v="2025-04-27"/>
    <x v="1"/>
    <s v="Bookcases"/>
    <x v="6"/>
    <x v="2"/>
    <n v="9380"/>
    <n v="2544"/>
    <n v="6"/>
    <x v="1"/>
  </r>
  <r>
    <n v="1012"/>
    <s v="2025-01-30"/>
    <x v="1"/>
    <s v="Chairs"/>
    <x v="7"/>
    <x v="3"/>
    <n v="16475"/>
    <n v="1677"/>
    <n v="10"/>
    <x v="1"/>
  </r>
  <r>
    <n v="1013"/>
    <s v="2025-01-12"/>
    <x v="2"/>
    <s v="Paper"/>
    <x v="5"/>
    <x v="1"/>
    <n v="12531"/>
    <n v="1055"/>
    <n v="7"/>
    <x v="1"/>
  </r>
  <r>
    <n v="1014"/>
    <s v="2025-06-07"/>
    <x v="1"/>
    <s v="Bookcases"/>
    <x v="6"/>
    <x v="2"/>
    <n v="19008"/>
    <n v="3303"/>
    <n v="3"/>
    <x v="1"/>
  </r>
  <r>
    <n v="1015"/>
    <s v="2025-03-13"/>
    <x v="0"/>
    <s v="Phones"/>
    <x v="0"/>
    <x v="3"/>
    <n v="11607"/>
    <n v="1091"/>
    <n v="4"/>
    <x v="1"/>
  </r>
  <r>
    <n v="1016"/>
    <s v="2025-05-10"/>
    <x v="1"/>
    <s v="Bookcases"/>
    <x v="6"/>
    <x v="2"/>
    <n v="14921"/>
    <n v="2721"/>
    <n v="5"/>
    <x v="1"/>
  </r>
  <r>
    <n v="1017"/>
    <s v="2025-06-03"/>
    <x v="1"/>
    <s v="Tables"/>
    <x v="2"/>
    <x v="0"/>
    <n v="12802"/>
    <n v="4676"/>
    <n v="1"/>
    <x v="1"/>
  </r>
  <r>
    <n v="1018"/>
    <s v="2025-02-06"/>
    <x v="1"/>
    <s v="Chairs"/>
    <x v="7"/>
    <x v="3"/>
    <n v="7909"/>
    <n v="3211"/>
    <n v="7"/>
    <x v="1"/>
  </r>
  <r>
    <n v="1019"/>
    <s v="2025-03-05"/>
    <x v="0"/>
    <s v="Accessories"/>
    <x v="4"/>
    <x v="3"/>
    <n v="12643"/>
    <n v="2291"/>
    <n v="4"/>
    <x v="1"/>
  </r>
  <r>
    <n v="1020"/>
    <s v="2025-04-14"/>
    <x v="1"/>
    <s v="Tables"/>
    <x v="2"/>
    <x v="2"/>
    <n v="4267"/>
    <n v="611"/>
    <n v="6"/>
    <x v="1"/>
  </r>
  <r>
    <n v="1021"/>
    <s v="2025-03-12"/>
    <x v="1"/>
    <s v="Tables"/>
    <x v="2"/>
    <x v="0"/>
    <n v="9735"/>
    <n v="3801"/>
    <n v="8"/>
    <x v="1"/>
  </r>
  <r>
    <n v="1022"/>
    <s v="2025-01-04"/>
    <x v="2"/>
    <s v="Storage"/>
    <x v="8"/>
    <x v="0"/>
    <n v="7265"/>
    <n v="1389"/>
    <n v="7"/>
    <x v="1"/>
  </r>
  <r>
    <n v="1023"/>
    <s v="2025-01-04"/>
    <x v="2"/>
    <s v="Binders"/>
    <x v="3"/>
    <x v="0"/>
    <n v="11357"/>
    <n v="4948"/>
    <n v="2"/>
    <x v="1"/>
  </r>
  <r>
    <n v="1024"/>
    <s v="2025-01-08"/>
    <x v="0"/>
    <s v="Laptops"/>
    <x v="1"/>
    <x v="0"/>
    <n v="2642"/>
    <n v="197"/>
    <n v="3"/>
    <x v="1"/>
  </r>
  <r>
    <n v="1025"/>
    <s v="2025-05-26"/>
    <x v="2"/>
    <s v="Storage"/>
    <x v="8"/>
    <x v="1"/>
    <n v="3500"/>
    <n v="3602"/>
    <n v="9"/>
    <x v="1"/>
  </r>
  <r>
    <n v="1026"/>
    <s v="2025-02-01"/>
    <x v="1"/>
    <s v="Tables"/>
    <x v="2"/>
    <x v="0"/>
    <n v="4017"/>
    <n v="4973"/>
    <n v="7"/>
    <x v="1"/>
  </r>
  <r>
    <n v="1027"/>
    <s v="2025-06-01"/>
    <x v="2"/>
    <s v="Binders"/>
    <x v="3"/>
    <x v="1"/>
    <n v="7596"/>
    <n v="751"/>
    <n v="7"/>
    <x v="1"/>
  </r>
  <r>
    <n v="1028"/>
    <s v="2025-04-08"/>
    <x v="0"/>
    <s v="Accessories"/>
    <x v="4"/>
    <x v="0"/>
    <n v="18457"/>
    <n v="3750"/>
    <n v="10"/>
    <x v="1"/>
  </r>
  <r>
    <n v="1029"/>
    <s v="2025-02-11"/>
    <x v="2"/>
    <s v="Storage"/>
    <x v="8"/>
    <x v="3"/>
    <n v="15325"/>
    <n v="1932"/>
    <n v="7"/>
    <x v="1"/>
  </r>
  <r>
    <n v="1030"/>
    <s v="2025-02-28"/>
    <x v="1"/>
    <s v="Bookcases"/>
    <x v="6"/>
    <x v="1"/>
    <n v="13827"/>
    <n v="-94"/>
    <n v="6"/>
    <x v="1"/>
  </r>
  <r>
    <n v="1031"/>
    <s v="2025-04-03"/>
    <x v="2"/>
    <s v="Storage"/>
    <x v="8"/>
    <x v="1"/>
    <n v="5660"/>
    <n v="499"/>
    <n v="9"/>
    <x v="1"/>
  </r>
  <r>
    <n v="1032"/>
    <s v="2025-01-10"/>
    <x v="0"/>
    <s v="Accessories"/>
    <x v="4"/>
    <x v="3"/>
    <n v="19427"/>
    <n v="591"/>
    <n v="1"/>
    <x v="1"/>
  </r>
  <r>
    <n v="1033"/>
    <s v="2025-02-10"/>
    <x v="0"/>
    <s v="Accessories"/>
    <x v="4"/>
    <x v="2"/>
    <n v="6195"/>
    <n v="3204"/>
    <n v="2"/>
    <x v="1"/>
  </r>
  <r>
    <n v="1034"/>
    <s v="2025-02-18"/>
    <x v="0"/>
    <s v="Phones"/>
    <x v="0"/>
    <x v="3"/>
    <n v="7830"/>
    <n v="714"/>
    <n v="8"/>
    <x v="1"/>
  </r>
  <r>
    <n v="1035"/>
    <s v="2025-02-28"/>
    <x v="1"/>
    <s v="Bookcases"/>
    <x v="6"/>
    <x v="0"/>
    <n v="19779"/>
    <n v="1440"/>
    <n v="6"/>
    <x v="1"/>
  </r>
  <r>
    <n v="1036"/>
    <s v="2025-03-11"/>
    <x v="2"/>
    <s v="Paper"/>
    <x v="5"/>
    <x v="3"/>
    <n v="3300"/>
    <n v="56"/>
    <n v="9"/>
    <x v="2"/>
  </r>
  <r>
    <n v="1037"/>
    <s v="2025-06-01"/>
    <x v="1"/>
    <s v="Bookcases"/>
    <x v="6"/>
    <x v="2"/>
    <n v="2611"/>
    <n v="3032"/>
    <n v="2"/>
    <x v="2"/>
  </r>
  <r>
    <n v="1038"/>
    <s v="2025-03-15"/>
    <x v="2"/>
    <s v="Storage"/>
    <x v="8"/>
    <x v="3"/>
    <n v="17929"/>
    <n v="4053"/>
    <n v="2"/>
    <x v="2"/>
  </r>
  <r>
    <n v="1039"/>
    <s v="2025-01-19"/>
    <x v="0"/>
    <s v="Laptops"/>
    <x v="1"/>
    <x v="1"/>
    <n v="17917"/>
    <n v="3467"/>
    <n v="8"/>
    <x v="2"/>
  </r>
  <r>
    <n v="1040"/>
    <s v="2025-03-06"/>
    <x v="2"/>
    <s v="Binders"/>
    <x v="3"/>
    <x v="3"/>
    <n v="3209"/>
    <n v="794"/>
    <n v="4"/>
    <x v="2"/>
  </r>
  <r>
    <n v="1041"/>
    <s v="2025-01-18"/>
    <x v="2"/>
    <s v="Binders"/>
    <x v="3"/>
    <x v="1"/>
    <n v="14322"/>
    <n v="3114"/>
    <n v="9"/>
    <x v="2"/>
  </r>
  <r>
    <n v="1042"/>
    <s v="2025-06-07"/>
    <x v="1"/>
    <s v="Bookcases"/>
    <x v="6"/>
    <x v="1"/>
    <n v="2027"/>
    <n v="2689"/>
    <n v="10"/>
    <x v="2"/>
  </r>
  <r>
    <n v="1043"/>
    <s v="2025-05-30"/>
    <x v="2"/>
    <s v="Paper"/>
    <x v="5"/>
    <x v="1"/>
    <n v="7399"/>
    <n v="-228"/>
    <n v="7"/>
    <x v="2"/>
  </r>
  <r>
    <n v="1044"/>
    <s v="2025-03-15"/>
    <x v="0"/>
    <s v="Laptops"/>
    <x v="1"/>
    <x v="3"/>
    <n v="1521"/>
    <n v="4420"/>
    <n v="2"/>
    <x v="2"/>
  </r>
  <r>
    <n v="1045"/>
    <s v="2025-06-15"/>
    <x v="1"/>
    <s v="Bookcases"/>
    <x v="6"/>
    <x v="0"/>
    <n v="9998"/>
    <n v="2905"/>
    <n v="7"/>
    <x v="2"/>
  </r>
  <r>
    <n v="1046"/>
    <s v="2025-06-20"/>
    <x v="1"/>
    <s v="Bookcases"/>
    <x v="6"/>
    <x v="2"/>
    <n v="2331"/>
    <n v="-304"/>
    <n v="3"/>
    <x v="2"/>
  </r>
  <r>
    <n v="1047"/>
    <s v="2025-06-14"/>
    <x v="0"/>
    <s v="Laptops"/>
    <x v="1"/>
    <x v="2"/>
    <n v="18890"/>
    <n v="2589"/>
    <n v="9"/>
    <x v="2"/>
  </r>
  <r>
    <n v="1048"/>
    <s v="2025-01-29"/>
    <x v="0"/>
    <s v="Laptops"/>
    <x v="1"/>
    <x v="2"/>
    <n v="14804"/>
    <n v="2322"/>
    <n v="1"/>
    <x v="2"/>
  </r>
  <r>
    <n v="1049"/>
    <s v="2025-04-29"/>
    <x v="2"/>
    <s v="Paper"/>
    <x v="5"/>
    <x v="1"/>
    <n v="14029"/>
    <n v="599"/>
    <n v="3"/>
    <x v="2"/>
  </r>
  <r>
    <n v="1050"/>
    <s v="2025-05-21"/>
    <x v="2"/>
    <s v="Storage"/>
    <x v="8"/>
    <x v="1"/>
    <n v="11517"/>
    <n v="4289"/>
    <n v="5"/>
    <x v="2"/>
  </r>
  <r>
    <n v="1051"/>
    <s v="2025-04-20"/>
    <x v="2"/>
    <s v="Paper"/>
    <x v="5"/>
    <x v="2"/>
    <n v="9722"/>
    <n v="2485"/>
    <n v="4"/>
    <x v="2"/>
  </r>
  <r>
    <n v="1052"/>
    <s v="2025-06-12"/>
    <x v="1"/>
    <s v="Bookcases"/>
    <x v="6"/>
    <x v="1"/>
    <n v="4490"/>
    <n v="1414"/>
    <n v="1"/>
    <x v="2"/>
  </r>
  <r>
    <n v="1053"/>
    <s v="2025-01-19"/>
    <x v="1"/>
    <s v="Chairs"/>
    <x v="7"/>
    <x v="3"/>
    <n v="8535"/>
    <n v="1107"/>
    <n v="3"/>
    <x v="2"/>
  </r>
  <r>
    <n v="1054"/>
    <s v="2025-03-14"/>
    <x v="2"/>
    <s v="Paper"/>
    <x v="5"/>
    <x v="0"/>
    <n v="18122"/>
    <n v="1720"/>
    <n v="9"/>
    <x v="2"/>
  </r>
  <r>
    <n v="1055"/>
    <s v="2025-05-26"/>
    <x v="2"/>
    <s v="Storage"/>
    <x v="8"/>
    <x v="1"/>
    <n v="15977"/>
    <n v="1818"/>
    <n v="3"/>
    <x v="2"/>
  </r>
  <r>
    <n v="1056"/>
    <s v="2025-01-31"/>
    <x v="1"/>
    <s v="Tables"/>
    <x v="2"/>
    <x v="2"/>
    <n v="8883"/>
    <n v="4143"/>
    <n v="1"/>
    <x v="2"/>
  </r>
  <r>
    <n v="1057"/>
    <s v="2025-03-10"/>
    <x v="2"/>
    <s v="Storage"/>
    <x v="8"/>
    <x v="1"/>
    <n v="10745"/>
    <n v="4019"/>
    <n v="9"/>
    <x v="2"/>
  </r>
  <r>
    <n v="1058"/>
    <s v="2025-04-27"/>
    <x v="1"/>
    <s v="Tables"/>
    <x v="2"/>
    <x v="3"/>
    <n v="19971"/>
    <n v="439"/>
    <n v="6"/>
    <x v="2"/>
  </r>
  <r>
    <n v="1059"/>
    <s v="2025-02-16"/>
    <x v="1"/>
    <s v="Bookcases"/>
    <x v="6"/>
    <x v="2"/>
    <n v="10090"/>
    <n v="4118"/>
    <n v="10"/>
    <x v="2"/>
  </r>
  <r>
    <n v="1060"/>
    <s v="2025-01-25"/>
    <x v="2"/>
    <s v="Binders"/>
    <x v="3"/>
    <x v="1"/>
    <n v="10161"/>
    <n v="50"/>
    <n v="5"/>
    <x v="2"/>
  </r>
  <r>
    <n v="1061"/>
    <s v="2025-06-02"/>
    <x v="1"/>
    <s v="Bookcases"/>
    <x v="6"/>
    <x v="1"/>
    <n v="19305"/>
    <n v="302"/>
    <n v="8"/>
    <x v="2"/>
  </r>
  <r>
    <n v="1062"/>
    <s v="2025-06-09"/>
    <x v="2"/>
    <s v="Paper"/>
    <x v="5"/>
    <x v="2"/>
    <n v="14202"/>
    <n v="37"/>
    <n v="4"/>
    <x v="2"/>
  </r>
  <r>
    <n v="1063"/>
    <s v="2025-01-27"/>
    <x v="0"/>
    <s v="Accessories"/>
    <x v="4"/>
    <x v="2"/>
    <n v="7374"/>
    <n v="131"/>
    <n v="8"/>
    <x v="2"/>
  </r>
  <r>
    <n v="1064"/>
    <s v="2025-06-25"/>
    <x v="2"/>
    <s v="Paper"/>
    <x v="5"/>
    <x v="1"/>
    <n v="6046"/>
    <n v="-236"/>
    <n v="8"/>
    <x v="2"/>
  </r>
  <r>
    <n v="1065"/>
    <s v="2025-01-01"/>
    <x v="2"/>
    <s v="Storage"/>
    <x v="8"/>
    <x v="1"/>
    <n v="10989"/>
    <n v="2457"/>
    <n v="7"/>
    <x v="2"/>
  </r>
  <r>
    <n v="1066"/>
    <s v="2025-03-18"/>
    <x v="1"/>
    <s v="Bookcases"/>
    <x v="6"/>
    <x v="3"/>
    <n v="14570"/>
    <n v="3569"/>
    <n v="3"/>
    <x v="3"/>
  </r>
  <r>
    <n v="1067"/>
    <s v="2025-05-18"/>
    <x v="1"/>
    <s v="Bookcases"/>
    <x v="6"/>
    <x v="1"/>
    <n v="13409"/>
    <n v="795"/>
    <n v="1"/>
    <x v="3"/>
  </r>
  <r>
    <n v="1068"/>
    <s v="2025-05-27"/>
    <x v="1"/>
    <s v="Tables"/>
    <x v="2"/>
    <x v="1"/>
    <n v="13704"/>
    <n v="3713"/>
    <n v="1"/>
    <x v="3"/>
  </r>
  <r>
    <n v="1069"/>
    <s v="2025-01-02"/>
    <x v="1"/>
    <s v="Bookcases"/>
    <x v="6"/>
    <x v="2"/>
    <n v="2326"/>
    <n v="841"/>
    <n v="5"/>
    <x v="3"/>
  </r>
  <r>
    <n v="1070"/>
    <s v="2025-02-27"/>
    <x v="0"/>
    <s v="Phones"/>
    <x v="0"/>
    <x v="3"/>
    <n v="17067"/>
    <n v="3245"/>
    <n v="7"/>
    <x v="3"/>
  </r>
  <r>
    <n v="1071"/>
    <s v="2025-04-14"/>
    <x v="2"/>
    <s v="Storage"/>
    <x v="8"/>
    <x v="1"/>
    <n v="13669"/>
    <n v="2072"/>
    <n v="8"/>
    <x v="3"/>
  </r>
  <r>
    <n v="1072"/>
    <s v="2025-06-10"/>
    <x v="0"/>
    <s v="Laptops"/>
    <x v="1"/>
    <x v="1"/>
    <n v="3010"/>
    <n v="2912"/>
    <n v="4"/>
    <x v="3"/>
  </r>
  <r>
    <n v="1073"/>
    <s v="2025-05-29"/>
    <x v="2"/>
    <s v="Storage"/>
    <x v="8"/>
    <x v="3"/>
    <n v="14585"/>
    <n v="3189"/>
    <n v="7"/>
    <x v="3"/>
  </r>
  <r>
    <n v="1074"/>
    <s v="2025-04-23"/>
    <x v="0"/>
    <s v="Laptops"/>
    <x v="1"/>
    <x v="1"/>
    <n v="5135"/>
    <n v="383"/>
    <n v="7"/>
    <x v="3"/>
  </r>
  <r>
    <n v="1075"/>
    <s v="2025-02-25"/>
    <x v="1"/>
    <s v="Tables"/>
    <x v="2"/>
    <x v="0"/>
    <n v="11627"/>
    <n v="960"/>
    <n v="10"/>
    <x v="3"/>
  </r>
  <r>
    <n v="1076"/>
    <s v="2025-04-20"/>
    <x v="2"/>
    <s v="Storage"/>
    <x v="8"/>
    <x v="1"/>
    <n v="18771"/>
    <n v="2729"/>
    <n v="9"/>
    <x v="3"/>
  </r>
  <r>
    <n v="1077"/>
    <s v="2025-05-30"/>
    <x v="2"/>
    <s v="Storage"/>
    <x v="8"/>
    <x v="2"/>
    <n v="15621"/>
    <n v="2604"/>
    <n v="4"/>
    <x v="3"/>
  </r>
  <r>
    <n v="1078"/>
    <s v="2025-01-19"/>
    <x v="2"/>
    <s v="Paper"/>
    <x v="5"/>
    <x v="2"/>
    <n v="17133"/>
    <n v="3085"/>
    <n v="1"/>
    <x v="3"/>
  </r>
  <r>
    <n v="1079"/>
    <s v="2025-01-23"/>
    <x v="2"/>
    <s v="Binders"/>
    <x v="3"/>
    <x v="2"/>
    <n v="18027"/>
    <n v="2454"/>
    <n v="9"/>
    <x v="3"/>
  </r>
  <r>
    <n v="1080"/>
    <s v="2025-01-25"/>
    <x v="2"/>
    <s v="Binders"/>
    <x v="3"/>
    <x v="2"/>
    <n v="5578"/>
    <n v="-411"/>
    <n v="8"/>
    <x v="3"/>
  </r>
  <r>
    <n v="1081"/>
    <s v="2025-05-18"/>
    <x v="0"/>
    <s v="Laptops"/>
    <x v="1"/>
    <x v="1"/>
    <n v="19588"/>
    <n v="4783"/>
    <n v="8"/>
    <x v="3"/>
  </r>
  <r>
    <n v="1082"/>
    <s v="2025-06-13"/>
    <x v="0"/>
    <s v="Accessories"/>
    <x v="4"/>
    <x v="0"/>
    <n v="6466"/>
    <n v="2758"/>
    <n v="5"/>
    <x v="3"/>
  </r>
  <r>
    <n v="1083"/>
    <s v="2025-02-04"/>
    <x v="2"/>
    <s v="Storage"/>
    <x v="8"/>
    <x v="2"/>
    <n v="18879"/>
    <n v="4828"/>
    <n v="10"/>
    <x v="3"/>
  </r>
  <r>
    <n v="1084"/>
    <s v="2025-01-05"/>
    <x v="0"/>
    <s v="Phones"/>
    <x v="0"/>
    <x v="2"/>
    <n v="6438"/>
    <n v="2535"/>
    <n v="9"/>
    <x v="3"/>
  </r>
  <r>
    <n v="1085"/>
    <s v="2025-01-14"/>
    <x v="1"/>
    <s v="Tables"/>
    <x v="2"/>
    <x v="1"/>
    <n v="15146"/>
    <n v="2296"/>
    <n v="8"/>
    <x v="3"/>
  </r>
  <r>
    <n v="1086"/>
    <s v="2025-01-07"/>
    <x v="2"/>
    <s v="Storage"/>
    <x v="8"/>
    <x v="0"/>
    <n v="6923"/>
    <n v="3754"/>
    <n v="3"/>
    <x v="3"/>
  </r>
  <r>
    <n v="1087"/>
    <s v="2025-03-26"/>
    <x v="0"/>
    <s v="Phones"/>
    <x v="0"/>
    <x v="2"/>
    <n v="9624"/>
    <n v="1014"/>
    <n v="8"/>
    <x v="3"/>
  </r>
  <r>
    <n v="1088"/>
    <s v="2025-06-08"/>
    <x v="2"/>
    <s v="Storage"/>
    <x v="8"/>
    <x v="2"/>
    <n v="11679"/>
    <n v="2926"/>
    <n v="4"/>
    <x v="3"/>
  </r>
  <r>
    <n v="1089"/>
    <s v="2025-03-21"/>
    <x v="0"/>
    <s v="Accessories"/>
    <x v="4"/>
    <x v="0"/>
    <n v="12777"/>
    <n v="1086"/>
    <n v="8"/>
    <x v="3"/>
  </r>
  <r>
    <n v="1090"/>
    <s v="2025-01-03"/>
    <x v="0"/>
    <s v="Accessories"/>
    <x v="4"/>
    <x v="2"/>
    <n v="4937"/>
    <n v="2945"/>
    <n v="1"/>
    <x v="3"/>
  </r>
  <r>
    <n v="1091"/>
    <s v="2025-01-22"/>
    <x v="1"/>
    <s v="Chairs"/>
    <x v="7"/>
    <x v="2"/>
    <n v="8392"/>
    <n v="1387"/>
    <n v="8"/>
    <x v="3"/>
  </r>
  <r>
    <n v="1092"/>
    <s v="2025-05-14"/>
    <x v="0"/>
    <s v="Laptops"/>
    <x v="1"/>
    <x v="2"/>
    <n v="8619"/>
    <n v="1619"/>
    <n v="7"/>
    <x v="3"/>
  </r>
  <r>
    <n v="1093"/>
    <s v="2025-01-22"/>
    <x v="1"/>
    <s v="Tables"/>
    <x v="2"/>
    <x v="3"/>
    <n v="17137"/>
    <n v="3915"/>
    <n v="3"/>
    <x v="3"/>
  </r>
  <r>
    <n v="1094"/>
    <s v="2025-06-30"/>
    <x v="0"/>
    <s v="Laptops"/>
    <x v="1"/>
    <x v="3"/>
    <n v="1493"/>
    <n v="3991"/>
    <n v="8"/>
    <x v="3"/>
  </r>
  <r>
    <n v="1095"/>
    <s v="2025-06-05"/>
    <x v="0"/>
    <s v="Phones"/>
    <x v="0"/>
    <x v="2"/>
    <n v="8166"/>
    <n v="4455"/>
    <n v="7"/>
    <x v="3"/>
  </r>
  <r>
    <n v="1096"/>
    <s v="2025-02-07"/>
    <x v="2"/>
    <s v="Binders"/>
    <x v="3"/>
    <x v="0"/>
    <n v="16576"/>
    <n v="1802"/>
    <n v="7"/>
    <x v="3"/>
  </r>
  <r>
    <n v="1097"/>
    <s v="2025-04-29"/>
    <x v="1"/>
    <s v="Bookcases"/>
    <x v="6"/>
    <x v="2"/>
    <n v="6227"/>
    <n v="963"/>
    <n v="9"/>
    <x v="4"/>
  </r>
  <r>
    <n v="1098"/>
    <s v="2025-02-10"/>
    <x v="0"/>
    <s v="Laptops"/>
    <x v="1"/>
    <x v="2"/>
    <n v="8298"/>
    <n v="3064"/>
    <n v="2"/>
    <x v="4"/>
  </r>
  <r>
    <n v="1099"/>
    <s v="2025-01-27"/>
    <x v="1"/>
    <s v="Chairs"/>
    <x v="7"/>
    <x v="0"/>
    <n v="2517"/>
    <n v="494"/>
    <n v="6"/>
    <x v="4"/>
  </r>
  <r>
    <n v="1100"/>
    <s v="2025-03-29"/>
    <x v="0"/>
    <s v="Laptops"/>
    <x v="1"/>
    <x v="0"/>
    <n v="13521"/>
    <n v="4305"/>
    <n v="5"/>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7918B2-ECD6-470E-B8DD-53D9026461FD}" name="PivotTable21"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Sum of Sales" fld="6"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9E17D8-A79A-4021-968D-FEEB1647EDF9}" name="PivotTable23"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Order ID"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9071AA-2636-4EF7-B625-2077F0CDBC9E}" name="PivotTable3"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2"/>
  </rowFields>
  <rowItems count="4">
    <i>
      <x v="1"/>
    </i>
    <i>
      <x/>
    </i>
    <i>
      <x v="2"/>
    </i>
    <i t="grand">
      <x/>
    </i>
  </rowItems>
  <colItems count="1">
    <i/>
  </colItems>
  <dataFields count="1">
    <dataField name="Sum of Sales" fld="6" baseField="2"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961774-8819-46F5-BAEC-43DFB1C55D5B}" name="PivotTable2"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0">
    <pivotField showAll="0"/>
    <pivotField showAll="0"/>
    <pivotField showAll="0"/>
    <pivotField showAll="0"/>
    <pivotField showAll="0"/>
    <pivotField axis="axisRow" showAll="0" sortType="ascending">
      <items count="5">
        <item x="3"/>
        <item x="0"/>
        <item x="1"/>
        <item x="2"/>
        <item t="default"/>
      </items>
    </pivotField>
    <pivotField dataField="1" showAll="0"/>
    <pivotField showAll="0"/>
    <pivotField showAll="0"/>
    <pivotField showAll="0"/>
  </pivotFields>
  <rowFields count="1">
    <field x="5"/>
  </rowFields>
  <rowItems count="5">
    <i>
      <x/>
    </i>
    <i>
      <x v="1"/>
    </i>
    <i>
      <x v="2"/>
    </i>
    <i>
      <x v="3"/>
    </i>
    <i t="grand">
      <x/>
    </i>
  </rowItems>
  <colItems count="1">
    <i/>
  </colItems>
  <dataFields count="1">
    <dataField name="Sum of Sales" fld="6" baseField="5"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FBFC61-2CD2-4F66-A8A1-93AE18B9FECA}" name="PivotTable1"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showAll="0"/>
    <pivotField showAll="0">
      <items count="4">
        <item x="1"/>
        <item x="2"/>
        <item x="0"/>
        <item t="default"/>
      </items>
    </pivotField>
    <pivotField showAll="0"/>
    <pivotField showAll="0"/>
    <pivotField showAll="0">
      <items count="5">
        <item x="3"/>
        <item x="0"/>
        <item x="1"/>
        <item x="2"/>
        <item t="default"/>
      </items>
    </pivotField>
    <pivotField showAll="0"/>
    <pivotField dataField="1" showAll="0"/>
    <pivotField showAll="0"/>
    <pivotField showAll="0">
      <items count="6">
        <item x="4"/>
        <item h="1" x="0"/>
        <item h="1" x="1"/>
        <item h="1" x="2"/>
        <item h="1" x="3"/>
        <item t="default"/>
      </items>
    </pivotField>
  </pivotFields>
  <rowItems count="1">
    <i/>
  </rowItems>
  <colItems count="1">
    <i/>
  </colItems>
  <dataFields count="1">
    <dataField name="Sum of Profit" fld="7" baseField="0"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3A3698-5262-4735-B21E-1526C7EFED52}" name="PivotTable8" cacheId="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month">
  <location ref="A3:B9" firstHeaderRow="1" firstDataRow="1" firstDataCol="1"/>
  <pivotFields count="3">
    <pivotField axis="axisRow" allDrilled="1" subtotalTop="0" showAll="0" sortType="ascending" defaultSubtotal="0" defaultAttributeDrillState="1">
      <items count="5">
        <item x="1"/>
        <item x="4"/>
        <item x="3"/>
        <item x="2"/>
        <item x="0"/>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numFmtId="164"/>
  </dataFields>
  <pivotHierarchies count="13">
    <pivotHierarchy dragToData="1"/>
    <pivotHierarchy dragToData="1"/>
    <pivotHierarchy dragToData="1"/>
    <pivotHierarchy dragToData="1"/>
    <pivotHierarchy dragToData="1"/>
    <pivotHierarchy multipleItemSelectionAllowed="1" dragToData="1">
      <members count="1" level="1">
        <member name="[SalesData].[Region].&amp;[North]"/>
      </members>
    </pivotHierarchy>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Sales_Dataset.xlsx!SalesData">
        <x15:activeTabTopLevelEntity name="[Sales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69480C-4BFE-4873-B508-DCD6C0038E68}" name="PivotTable9"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10">
    <pivotField showAll="0"/>
    <pivotField showAll="0"/>
    <pivotField showAll="0"/>
    <pivotField showAll="0"/>
    <pivotField axis="axisRow" showAll="0" sortType="descending">
      <items count="10">
        <item x="5"/>
        <item x="3"/>
        <item x="6"/>
        <item x="1"/>
        <item x="4"/>
        <item x="7"/>
        <item x="0"/>
        <item x="8"/>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s>
  <rowFields count="1">
    <field x="4"/>
  </rowFields>
  <rowItems count="10">
    <i>
      <x v="7"/>
    </i>
    <i>
      <x v="2"/>
    </i>
    <i>
      <x v="3"/>
    </i>
    <i>
      <x/>
    </i>
    <i>
      <x v="8"/>
    </i>
    <i>
      <x v="1"/>
    </i>
    <i>
      <x v="4"/>
    </i>
    <i>
      <x v="6"/>
    </i>
    <i>
      <x v="5"/>
    </i>
    <i t="grand">
      <x/>
    </i>
  </rowItems>
  <colItems count="1">
    <i/>
  </colItems>
  <dataFields count="1">
    <dataField name="Sum of Sales" fld="6" baseField="4"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33CB7E-2A99-43CD-8C6A-F325FDAB9DE2}" name="PivotTable1"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J7" firstHeaderRow="1" firstDataRow="1" firstDataCol="0"/>
  <pivotFields count="1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ORDER " fld="0" baseField="0" baseItem="0" numFmtId="3"/>
  </dataFields>
  <formats count="10">
    <format dxfId="19">
      <pivotArea outline="0" collapsedLevelsAreSubtotals="1" fieldPosition="0"/>
    </format>
    <format dxfId="18">
      <pivotArea outline="0" collapsedLevelsAreSubtotals="1" fieldPosition="0"/>
    </format>
    <format dxfId="17">
      <pivotArea dataOnly="0" labelOnly="1" outline="0" axis="axisValues" fieldPosition="0"/>
    </format>
    <format dxfId="16">
      <pivotArea dataOnly="0" labelOnly="1" outline="0" axis="axisValues" fieldPosition="0"/>
    </format>
    <format dxfId="13">
      <pivotArea outline="0" fieldPosition="0">
        <references count="1">
          <reference field="4294967294" count="1">
            <x v="0"/>
          </reference>
        </references>
      </pivotArea>
    </format>
    <format dxfId="12">
      <pivotArea outline="0" collapsedLevelsAreSubtotals="1" fieldPosition="0"/>
    </format>
    <format dxfId="9">
      <pivotArea dataOnly="0" labelOnly="1" outline="0" axis="axisValues" fieldPosition="0"/>
    </format>
    <format dxfId="6">
      <pivotArea dataOnly="0" labelOnly="1" outline="0" axis="axisValues" fieldPosition="0"/>
    </format>
    <format dxfId="3">
      <pivotArea dataOnly="0" labelOnly="1" outline="0" axis="axisValues"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6671AA-B777-4CEB-A356-8308E8EC920B}" name="PivotTable22"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H7" firstHeaderRow="1" firstDataRow="1" firstDataCol="0"/>
  <pivotFields count="1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TOTAL SALE" fld="6" baseField="0" baseItem="0" numFmtId="166"/>
  </dataFields>
  <formats count="8">
    <format dxfId="23">
      <pivotArea dataOnly="0" labelOnly="1" outline="0" axis="axisValues" fieldPosition="0"/>
    </format>
    <format dxfId="22">
      <pivotArea dataOnly="0" labelOnly="1" outline="0" axis="axisValues" fieldPosition="0"/>
    </format>
    <format dxfId="21">
      <pivotArea outline="0" collapsedLevelsAreSubtotals="1" fieldPosition="0"/>
    </format>
    <format dxfId="20">
      <pivotArea outline="0" collapsedLevelsAreSubtotals="1" fieldPosition="0"/>
    </format>
    <format dxfId="10">
      <pivotArea dataOnly="0" labelOnly="1" outline="0" axis="axisValues" fieldPosition="0"/>
    </format>
    <format dxfId="7">
      <pivotArea dataOnly="0" labelOnly="1" outline="0" axis="axisValues" fieldPosition="0"/>
    </format>
    <format dxfId="4">
      <pivotArea dataOnly="0" labelOnly="1" outline="0" axis="axisValues"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9E7D1F-ABFF-4706-95E8-7D7AD293AF81}" name="PivotTable20"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F7" firstHeaderRow="1" firstDataRow="1" firstDataCol="0"/>
  <pivotFields count="1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TOTAL PROFIT" fld="7" baseField="0" baseItem="0" numFmtId="164"/>
  </dataFields>
  <formats count="8">
    <format dxfId="27">
      <pivotArea dataOnly="0" labelOnly="1" outline="0" axis="axisValues" fieldPosition="0"/>
    </format>
    <format dxfId="26">
      <pivotArea outline="0" collapsedLevelsAreSubtotals="1" fieldPosition="0"/>
    </format>
    <format dxfId="25">
      <pivotArea dataOnly="0" labelOnly="1" outline="0" axis="axisValues" fieldPosition="0"/>
    </format>
    <format dxfId="24">
      <pivotArea outline="0" collapsedLevelsAreSubtotals="1" fieldPosition="0"/>
    </format>
    <format dxfId="11">
      <pivotArea dataOnly="0" labelOnly="1" outline="0" axis="axisValues" fieldPosition="0"/>
    </format>
    <format dxfId="8">
      <pivotArea dataOnly="0" labelOnly="1" outline="0" axis="axisValues" fieldPosition="0"/>
    </format>
    <format dxfId="5">
      <pivotArea dataOnly="0" labelOnly="1" outline="0" axis="axisValues"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4CC0D15-1985-4781-AF97-61CBF7FE339E}" sourceName="Category">
  <pivotTables>
    <pivotTable tabId="2" name="PivotTable1"/>
  </pivotTables>
  <data>
    <tabular pivotCacheId="660909607">
      <items count="3">
        <i x="1" s="1"/>
        <i x="0"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1655FD9-646E-4A12-9C8F-4A096AF3D491}" sourceName="Region">
  <pivotTables>
    <pivotTable tabId="2" name="PivotTable1"/>
  </pivotTables>
  <data>
    <tabular pivotCacheId="660909607">
      <items count="4">
        <i x="0" s="1"/>
        <i x="2" s="1"/>
        <i x="3" s="1" nd="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C476A4B-64A5-4A6F-950B-3CF0271858CC}" sourceName="Month">
  <pivotTables>
    <pivotTable tabId="2" name="PivotTable1"/>
  </pivotTables>
  <data>
    <tabular pivotCacheId="660909607">
      <items count="5">
        <i x="4" s="1"/>
        <i x="0"/>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7DA03F9-FFD3-41CD-B982-0CDC2AC83D02}" cache="Slicer_Category" caption="Category" rowHeight="234950"/>
  <slicer name="Region" xr10:uid="{4B9F7CFD-3C28-4702-81FC-C8EAA7306F56}" cache="Slicer_Region" caption="Region" rowHeight="234950"/>
  <slicer name="Month" xr10:uid="{53AE2FBB-2953-40BB-8D16-37421707E20C}"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88D85F8E-3091-4BB7-BA60-3C89F3C4F4A1}" cache="Slicer_Category" caption="Category" style="SlicerStyleLight6" rowHeight="234950"/>
  <slicer name="Region 1" xr10:uid="{27B07397-449B-4B96-A825-42A000FA3C99}" cache="Slicer_Region" caption="Region" style="SlicerStyleLight6" rowHeight="234950"/>
  <slicer name="Month 1" xr10:uid="{7BB44D33-C3C0-4333-BD60-0B017CDFE8F0}" cache="Slicer_Month" caption="Month"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ECF79A-F60D-40AB-AEC9-782F50A7AF46}" name="SalesData" displayName="SalesData" ref="A1:J101" totalsRowShown="0">
  <autoFilter ref="A1:J101" xr:uid="{8AECF79A-F60D-40AB-AEC9-782F50A7AF46}"/>
  <tableColumns count="10">
    <tableColumn id="1" xr3:uid="{D77F3818-C324-4053-A445-AB517F8BC37C}" name="Order ID"/>
    <tableColumn id="2" xr3:uid="{A92F36B3-FFF5-4D44-916A-1CD22D6D38AD}" name="Order Date"/>
    <tableColumn id="3" xr3:uid="{62712EA2-2CC9-4A32-94C6-28A965872BBA}" name="Category"/>
    <tableColumn id="4" xr3:uid="{5D7A9196-F228-4C5B-A556-61BC843924C6}" name="Sub-Category"/>
    <tableColumn id="5" xr3:uid="{825683D4-9CEB-4443-A489-2676557BC89C}" name="Product Name"/>
    <tableColumn id="6" xr3:uid="{395CAB06-C725-405A-B618-B73CBA3460E2}" name="Region"/>
    <tableColumn id="7" xr3:uid="{609530D9-EE92-4B12-B1FF-9DD650884EB8}" name="Sales"/>
    <tableColumn id="8" xr3:uid="{410003DD-C74C-412A-B278-11150DF2AF9D}" name="Profit"/>
    <tableColumn id="9" xr3:uid="{68FB6CA5-F659-47AE-BAEA-A23C919DE8E3}" name="Quantity"/>
    <tableColumn id="10" xr3:uid="{6FD9464F-A842-4ABE-A1CA-D93A09929AE3}" name="Month" dataDxfId="15">
      <calculatedColumnFormula>TEXT(A2,"mmmm")</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2.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9AEF1-1732-42F4-99CD-43AF037F2DF7}">
  <dimension ref="A3:A4"/>
  <sheetViews>
    <sheetView workbookViewId="0">
      <selection activeCell="A3" sqref="A3:A4"/>
    </sheetView>
  </sheetViews>
  <sheetFormatPr defaultRowHeight="14.4" x14ac:dyDescent="0.3"/>
  <cols>
    <col min="1" max="1" width="12.88671875" bestFit="1" customWidth="1"/>
  </cols>
  <sheetData>
    <row r="3" spans="1:1" x14ac:dyDescent="0.3">
      <c r="A3" t="s">
        <v>113</v>
      </c>
    </row>
    <row r="4" spans="1:1" x14ac:dyDescent="0.3">
      <c r="A4" s="6">
        <v>1063239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00E9B-CBB8-42DD-B52C-4A88B9AB63FC}">
  <dimension ref="A3:A4"/>
  <sheetViews>
    <sheetView workbookViewId="0">
      <selection activeCell="A4" sqref="A3:A4"/>
    </sheetView>
  </sheetViews>
  <sheetFormatPr defaultRowHeight="14.4" x14ac:dyDescent="0.3"/>
  <cols>
    <col min="1" max="1" width="14.5546875" bestFit="1" customWidth="1"/>
  </cols>
  <sheetData>
    <row r="3" spans="1:1" x14ac:dyDescent="0.3">
      <c r="A3" t="s">
        <v>126</v>
      </c>
    </row>
    <row r="4" spans="1:1" x14ac:dyDescent="0.3">
      <c r="A4" s="11">
        <v>105050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workbookViewId="0">
      <selection activeCell="H5" sqref="H5"/>
    </sheetView>
  </sheetViews>
  <sheetFormatPr defaultRowHeight="14.4" x14ac:dyDescent="0.3"/>
  <cols>
    <col min="1" max="1" width="9.88671875" customWidth="1"/>
    <col min="2" max="2" width="12" customWidth="1"/>
    <col min="3" max="3" width="10.44140625" customWidth="1"/>
    <col min="4" max="4" width="14.33203125" customWidth="1"/>
    <col min="5" max="5" width="15" customWidth="1"/>
    <col min="9" max="9" width="10.21875" customWidth="1"/>
  </cols>
  <sheetData>
    <row r="1" spans="1:10" x14ac:dyDescent="0.3">
      <c r="A1" t="s">
        <v>0</v>
      </c>
      <c r="B1" t="s">
        <v>1</v>
      </c>
      <c r="C1" t="s">
        <v>2</v>
      </c>
      <c r="D1" t="s">
        <v>3</v>
      </c>
      <c r="E1" t="s">
        <v>4</v>
      </c>
      <c r="F1" t="s">
        <v>5</v>
      </c>
      <c r="G1" t="s">
        <v>6</v>
      </c>
      <c r="H1" t="s">
        <v>7</v>
      </c>
      <c r="I1" t="s">
        <v>8</v>
      </c>
      <c r="J1" t="s">
        <v>117</v>
      </c>
    </row>
    <row r="2" spans="1:10" x14ac:dyDescent="0.3">
      <c r="A2">
        <v>1001</v>
      </c>
      <c r="B2" t="s">
        <v>9</v>
      </c>
      <c r="C2" t="s">
        <v>10</v>
      </c>
      <c r="D2" t="s">
        <v>11</v>
      </c>
      <c r="E2" t="s">
        <v>12</v>
      </c>
      <c r="F2" t="s">
        <v>13</v>
      </c>
      <c r="G2">
        <v>7087</v>
      </c>
      <c r="H2">
        <v>1013</v>
      </c>
      <c r="I2">
        <v>1</v>
      </c>
      <c r="J2" t="str">
        <f t="shared" ref="J2:J33" si="0">TEXT(A2,"mmmm")</f>
        <v>September</v>
      </c>
    </row>
    <row r="3" spans="1:10" x14ac:dyDescent="0.3">
      <c r="A3">
        <v>1002</v>
      </c>
      <c r="B3" t="s">
        <v>14</v>
      </c>
      <c r="C3" t="s">
        <v>10</v>
      </c>
      <c r="D3" t="s">
        <v>15</v>
      </c>
      <c r="E3" t="s">
        <v>16</v>
      </c>
      <c r="F3" t="s">
        <v>13</v>
      </c>
      <c r="G3">
        <v>2197</v>
      </c>
      <c r="H3">
        <v>3992</v>
      </c>
      <c r="I3">
        <v>7</v>
      </c>
      <c r="J3" t="str">
        <f t="shared" si="0"/>
        <v>September</v>
      </c>
    </row>
    <row r="4" spans="1:10" x14ac:dyDescent="0.3">
      <c r="A4">
        <v>1003</v>
      </c>
      <c r="B4" t="s">
        <v>17</v>
      </c>
      <c r="C4" t="s">
        <v>18</v>
      </c>
      <c r="D4" t="s">
        <v>19</v>
      </c>
      <c r="E4" t="s">
        <v>20</v>
      </c>
      <c r="F4" t="s">
        <v>21</v>
      </c>
      <c r="G4">
        <v>8041</v>
      </c>
      <c r="H4">
        <v>4178</v>
      </c>
      <c r="I4">
        <v>5</v>
      </c>
      <c r="J4" t="str">
        <f t="shared" si="0"/>
        <v>September</v>
      </c>
    </row>
    <row r="5" spans="1:10" x14ac:dyDescent="0.3">
      <c r="A5">
        <v>1004</v>
      </c>
      <c r="B5" t="s">
        <v>22</v>
      </c>
      <c r="C5" t="s">
        <v>23</v>
      </c>
      <c r="D5" t="s">
        <v>24</v>
      </c>
      <c r="E5" t="s">
        <v>25</v>
      </c>
      <c r="F5" t="s">
        <v>13</v>
      </c>
      <c r="G5">
        <v>8856</v>
      </c>
      <c r="H5">
        <v>4973</v>
      </c>
      <c r="I5">
        <v>9</v>
      </c>
      <c r="J5" t="str">
        <f t="shared" si="0"/>
        <v>September</v>
      </c>
    </row>
    <row r="6" spans="1:10" x14ac:dyDescent="0.3">
      <c r="A6">
        <v>1005</v>
      </c>
      <c r="B6" t="s">
        <v>26</v>
      </c>
      <c r="C6" t="s">
        <v>10</v>
      </c>
      <c r="D6" t="s">
        <v>27</v>
      </c>
      <c r="E6" t="s">
        <v>28</v>
      </c>
      <c r="F6" t="s">
        <v>21</v>
      </c>
      <c r="G6">
        <v>10128</v>
      </c>
      <c r="H6">
        <v>2096</v>
      </c>
      <c r="I6">
        <v>1</v>
      </c>
      <c r="J6" t="str">
        <f t="shared" si="0"/>
        <v>October</v>
      </c>
    </row>
    <row r="7" spans="1:10" x14ac:dyDescent="0.3">
      <c r="A7">
        <v>1006</v>
      </c>
      <c r="B7" t="s">
        <v>29</v>
      </c>
      <c r="C7" t="s">
        <v>23</v>
      </c>
      <c r="D7" t="s">
        <v>24</v>
      </c>
      <c r="E7" t="s">
        <v>25</v>
      </c>
      <c r="F7" t="s">
        <v>21</v>
      </c>
      <c r="G7">
        <v>10147</v>
      </c>
      <c r="H7">
        <v>103</v>
      </c>
      <c r="I7">
        <v>6</v>
      </c>
      <c r="J7" t="str">
        <f t="shared" si="0"/>
        <v>October</v>
      </c>
    </row>
    <row r="8" spans="1:10" x14ac:dyDescent="0.3">
      <c r="A8">
        <v>1007</v>
      </c>
      <c r="B8" t="s">
        <v>30</v>
      </c>
      <c r="C8" t="s">
        <v>10</v>
      </c>
      <c r="D8" t="s">
        <v>27</v>
      </c>
      <c r="E8" t="s">
        <v>28</v>
      </c>
      <c r="F8" t="s">
        <v>13</v>
      </c>
      <c r="G8">
        <v>4639</v>
      </c>
      <c r="H8">
        <v>3719</v>
      </c>
      <c r="I8">
        <v>7</v>
      </c>
      <c r="J8" t="str">
        <f t="shared" si="0"/>
        <v>October</v>
      </c>
    </row>
    <row r="9" spans="1:10" x14ac:dyDescent="0.3">
      <c r="A9">
        <v>1008</v>
      </c>
      <c r="B9" t="s">
        <v>31</v>
      </c>
      <c r="C9" t="s">
        <v>10</v>
      </c>
      <c r="D9" t="s">
        <v>15</v>
      </c>
      <c r="E9" t="s">
        <v>16</v>
      </c>
      <c r="F9" t="s">
        <v>32</v>
      </c>
      <c r="G9">
        <v>10165</v>
      </c>
      <c r="H9">
        <v>2085</v>
      </c>
      <c r="I9">
        <v>4</v>
      </c>
      <c r="J9" t="str">
        <f t="shared" si="0"/>
        <v>October</v>
      </c>
    </row>
    <row r="10" spans="1:10" x14ac:dyDescent="0.3">
      <c r="A10">
        <v>1009</v>
      </c>
      <c r="B10" t="s">
        <v>33</v>
      </c>
      <c r="C10" t="s">
        <v>23</v>
      </c>
      <c r="D10" t="s">
        <v>34</v>
      </c>
      <c r="E10" t="s">
        <v>35</v>
      </c>
      <c r="F10" t="s">
        <v>36</v>
      </c>
      <c r="G10">
        <v>14113</v>
      </c>
      <c r="H10">
        <v>1004</v>
      </c>
      <c r="I10">
        <v>1</v>
      </c>
      <c r="J10" t="str">
        <f t="shared" si="0"/>
        <v>October</v>
      </c>
    </row>
    <row r="11" spans="1:10" x14ac:dyDescent="0.3">
      <c r="A11">
        <v>1010</v>
      </c>
      <c r="B11" t="s">
        <v>37</v>
      </c>
      <c r="C11" t="s">
        <v>23</v>
      </c>
      <c r="D11" t="s">
        <v>34</v>
      </c>
      <c r="E11" t="s">
        <v>35</v>
      </c>
      <c r="F11" t="s">
        <v>13</v>
      </c>
      <c r="G11">
        <v>9660</v>
      </c>
      <c r="H11">
        <v>4556</v>
      </c>
      <c r="I11">
        <v>8</v>
      </c>
      <c r="J11" t="str">
        <f t="shared" si="0"/>
        <v>October</v>
      </c>
    </row>
    <row r="12" spans="1:10" x14ac:dyDescent="0.3">
      <c r="A12">
        <v>1011</v>
      </c>
      <c r="B12" t="s">
        <v>38</v>
      </c>
      <c r="C12" t="s">
        <v>18</v>
      </c>
      <c r="D12" t="s">
        <v>39</v>
      </c>
      <c r="E12" t="s">
        <v>40</v>
      </c>
      <c r="F12" t="s">
        <v>32</v>
      </c>
      <c r="G12">
        <v>9380</v>
      </c>
      <c r="H12">
        <v>2544</v>
      </c>
      <c r="I12">
        <v>6</v>
      </c>
      <c r="J12" t="str">
        <f t="shared" si="0"/>
        <v>October</v>
      </c>
    </row>
    <row r="13" spans="1:10" x14ac:dyDescent="0.3">
      <c r="A13">
        <v>1012</v>
      </c>
      <c r="B13" t="s">
        <v>41</v>
      </c>
      <c r="C13" t="s">
        <v>18</v>
      </c>
      <c r="D13" t="s">
        <v>42</v>
      </c>
      <c r="E13" t="s">
        <v>43</v>
      </c>
      <c r="F13" t="s">
        <v>36</v>
      </c>
      <c r="G13">
        <v>16475</v>
      </c>
      <c r="H13">
        <v>1677</v>
      </c>
      <c r="I13">
        <v>10</v>
      </c>
      <c r="J13" t="str">
        <f t="shared" si="0"/>
        <v>October</v>
      </c>
    </row>
    <row r="14" spans="1:10" x14ac:dyDescent="0.3">
      <c r="A14">
        <v>1013</v>
      </c>
      <c r="B14" t="s">
        <v>33</v>
      </c>
      <c r="C14" t="s">
        <v>23</v>
      </c>
      <c r="D14" t="s">
        <v>34</v>
      </c>
      <c r="E14" t="s">
        <v>35</v>
      </c>
      <c r="F14" t="s">
        <v>21</v>
      </c>
      <c r="G14">
        <v>12531</v>
      </c>
      <c r="H14">
        <v>1055</v>
      </c>
      <c r="I14">
        <v>7</v>
      </c>
      <c r="J14" t="str">
        <f t="shared" si="0"/>
        <v>October</v>
      </c>
    </row>
    <row r="15" spans="1:10" x14ac:dyDescent="0.3">
      <c r="A15">
        <v>1014</v>
      </c>
      <c r="B15" t="s">
        <v>44</v>
      </c>
      <c r="C15" t="s">
        <v>18</v>
      </c>
      <c r="D15" t="s">
        <v>39</v>
      </c>
      <c r="E15" t="s">
        <v>40</v>
      </c>
      <c r="F15" t="s">
        <v>32</v>
      </c>
      <c r="G15">
        <v>19008</v>
      </c>
      <c r="H15">
        <v>3303</v>
      </c>
      <c r="I15">
        <v>3</v>
      </c>
      <c r="J15" t="str">
        <f t="shared" si="0"/>
        <v>October</v>
      </c>
    </row>
    <row r="16" spans="1:10" x14ac:dyDescent="0.3">
      <c r="A16">
        <v>1015</v>
      </c>
      <c r="B16" t="s">
        <v>45</v>
      </c>
      <c r="C16" t="s">
        <v>10</v>
      </c>
      <c r="D16" t="s">
        <v>11</v>
      </c>
      <c r="E16" t="s">
        <v>12</v>
      </c>
      <c r="F16" t="s">
        <v>36</v>
      </c>
      <c r="G16">
        <v>11607</v>
      </c>
      <c r="H16">
        <v>1091</v>
      </c>
      <c r="I16">
        <v>4</v>
      </c>
      <c r="J16" t="str">
        <f t="shared" si="0"/>
        <v>October</v>
      </c>
    </row>
    <row r="17" spans="1:10" x14ac:dyDescent="0.3">
      <c r="A17">
        <v>1016</v>
      </c>
      <c r="B17" t="s">
        <v>46</v>
      </c>
      <c r="C17" t="s">
        <v>18</v>
      </c>
      <c r="D17" t="s">
        <v>39</v>
      </c>
      <c r="E17" t="s">
        <v>40</v>
      </c>
      <c r="F17" t="s">
        <v>32</v>
      </c>
      <c r="G17">
        <v>14921</v>
      </c>
      <c r="H17">
        <v>2721</v>
      </c>
      <c r="I17">
        <v>5</v>
      </c>
      <c r="J17" t="str">
        <f t="shared" si="0"/>
        <v>October</v>
      </c>
    </row>
    <row r="18" spans="1:10" x14ac:dyDescent="0.3">
      <c r="A18">
        <v>1017</v>
      </c>
      <c r="B18" t="s">
        <v>47</v>
      </c>
      <c r="C18" t="s">
        <v>18</v>
      </c>
      <c r="D18" t="s">
        <v>19</v>
      </c>
      <c r="E18" t="s">
        <v>20</v>
      </c>
      <c r="F18" t="s">
        <v>13</v>
      </c>
      <c r="G18">
        <v>12802</v>
      </c>
      <c r="H18">
        <v>4676</v>
      </c>
      <c r="I18">
        <v>1</v>
      </c>
      <c r="J18" t="str">
        <f t="shared" si="0"/>
        <v>October</v>
      </c>
    </row>
    <row r="19" spans="1:10" x14ac:dyDescent="0.3">
      <c r="A19">
        <v>1018</v>
      </c>
      <c r="B19" t="s">
        <v>48</v>
      </c>
      <c r="C19" t="s">
        <v>18</v>
      </c>
      <c r="D19" t="s">
        <v>42</v>
      </c>
      <c r="E19" t="s">
        <v>43</v>
      </c>
      <c r="F19" t="s">
        <v>36</v>
      </c>
      <c r="G19">
        <v>7909</v>
      </c>
      <c r="H19">
        <v>3211</v>
      </c>
      <c r="I19">
        <v>7</v>
      </c>
      <c r="J19" t="str">
        <f t="shared" si="0"/>
        <v>October</v>
      </c>
    </row>
    <row r="20" spans="1:10" x14ac:dyDescent="0.3">
      <c r="A20">
        <v>1019</v>
      </c>
      <c r="B20" t="s">
        <v>49</v>
      </c>
      <c r="C20" t="s">
        <v>10</v>
      </c>
      <c r="D20" t="s">
        <v>27</v>
      </c>
      <c r="E20" t="s">
        <v>28</v>
      </c>
      <c r="F20" t="s">
        <v>36</v>
      </c>
      <c r="G20">
        <v>12643</v>
      </c>
      <c r="H20">
        <v>2291</v>
      </c>
      <c r="I20">
        <v>4</v>
      </c>
      <c r="J20" t="str">
        <f t="shared" si="0"/>
        <v>October</v>
      </c>
    </row>
    <row r="21" spans="1:10" x14ac:dyDescent="0.3">
      <c r="A21">
        <v>1020</v>
      </c>
      <c r="B21" t="s">
        <v>50</v>
      </c>
      <c r="C21" t="s">
        <v>18</v>
      </c>
      <c r="D21" t="s">
        <v>19</v>
      </c>
      <c r="E21" t="s">
        <v>20</v>
      </c>
      <c r="F21" t="s">
        <v>32</v>
      </c>
      <c r="G21">
        <v>4267</v>
      </c>
      <c r="H21">
        <v>611</v>
      </c>
      <c r="I21">
        <v>6</v>
      </c>
      <c r="J21" t="str">
        <f t="shared" si="0"/>
        <v>October</v>
      </c>
    </row>
    <row r="22" spans="1:10" x14ac:dyDescent="0.3">
      <c r="A22">
        <v>1021</v>
      </c>
      <c r="B22" t="s">
        <v>51</v>
      </c>
      <c r="C22" t="s">
        <v>18</v>
      </c>
      <c r="D22" t="s">
        <v>19</v>
      </c>
      <c r="E22" t="s">
        <v>20</v>
      </c>
      <c r="F22" t="s">
        <v>13</v>
      </c>
      <c r="G22">
        <v>9735</v>
      </c>
      <c r="H22">
        <v>3801</v>
      </c>
      <c r="I22">
        <v>8</v>
      </c>
      <c r="J22" t="str">
        <f t="shared" si="0"/>
        <v>October</v>
      </c>
    </row>
    <row r="23" spans="1:10" x14ac:dyDescent="0.3">
      <c r="A23">
        <v>1022</v>
      </c>
      <c r="B23" t="s">
        <v>52</v>
      </c>
      <c r="C23" t="s">
        <v>23</v>
      </c>
      <c r="D23" t="s">
        <v>53</v>
      </c>
      <c r="E23" t="s">
        <v>54</v>
      </c>
      <c r="F23" t="s">
        <v>13</v>
      </c>
      <c r="G23">
        <v>7265</v>
      </c>
      <c r="H23">
        <v>1389</v>
      </c>
      <c r="I23">
        <v>7</v>
      </c>
      <c r="J23" t="str">
        <f t="shared" si="0"/>
        <v>October</v>
      </c>
    </row>
    <row r="24" spans="1:10" x14ac:dyDescent="0.3">
      <c r="A24">
        <v>1023</v>
      </c>
      <c r="B24" t="s">
        <v>52</v>
      </c>
      <c r="C24" t="s">
        <v>23</v>
      </c>
      <c r="D24" t="s">
        <v>24</v>
      </c>
      <c r="E24" t="s">
        <v>25</v>
      </c>
      <c r="F24" t="s">
        <v>13</v>
      </c>
      <c r="G24">
        <v>11357</v>
      </c>
      <c r="H24">
        <v>4948</v>
      </c>
      <c r="I24">
        <v>2</v>
      </c>
      <c r="J24" t="str">
        <f t="shared" si="0"/>
        <v>October</v>
      </c>
    </row>
    <row r="25" spans="1:10" x14ac:dyDescent="0.3">
      <c r="A25">
        <v>1024</v>
      </c>
      <c r="B25" t="s">
        <v>55</v>
      </c>
      <c r="C25" t="s">
        <v>10</v>
      </c>
      <c r="D25" t="s">
        <v>15</v>
      </c>
      <c r="E25" t="s">
        <v>16</v>
      </c>
      <c r="F25" t="s">
        <v>13</v>
      </c>
      <c r="G25">
        <v>2642</v>
      </c>
      <c r="H25">
        <v>197</v>
      </c>
      <c r="I25">
        <v>3</v>
      </c>
      <c r="J25" t="str">
        <f t="shared" si="0"/>
        <v>October</v>
      </c>
    </row>
    <row r="26" spans="1:10" x14ac:dyDescent="0.3">
      <c r="A26">
        <v>1025</v>
      </c>
      <c r="B26" t="s">
        <v>37</v>
      </c>
      <c r="C26" t="s">
        <v>23</v>
      </c>
      <c r="D26" t="s">
        <v>53</v>
      </c>
      <c r="E26" t="s">
        <v>54</v>
      </c>
      <c r="F26" t="s">
        <v>21</v>
      </c>
      <c r="G26">
        <v>3500</v>
      </c>
      <c r="H26">
        <v>3602</v>
      </c>
      <c r="I26">
        <v>9</v>
      </c>
      <c r="J26" t="str">
        <f t="shared" si="0"/>
        <v>October</v>
      </c>
    </row>
    <row r="27" spans="1:10" x14ac:dyDescent="0.3">
      <c r="A27">
        <v>1026</v>
      </c>
      <c r="B27" t="s">
        <v>56</v>
      </c>
      <c r="C27" t="s">
        <v>18</v>
      </c>
      <c r="D27" t="s">
        <v>19</v>
      </c>
      <c r="E27" t="s">
        <v>20</v>
      </c>
      <c r="F27" t="s">
        <v>13</v>
      </c>
      <c r="G27">
        <v>4017</v>
      </c>
      <c r="H27">
        <v>4973</v>
      </c>
      <c r="I27">
        <v>7</v>
      </c>
      <c r="J27" t="str">
        <f t="shared" si="0"/>
        <v>October</v>
      </c>
    </row>
    <row r="28" spans="1:10" x14ac:dyDescent="0.3">
      <c r="A28">
        <v>1027</v>
      </c>
      <c r="B28" t="s">
        <v>57</v>
      </c>
      <c r="C28" t="s">
        <v>23</v>
      </c>
      <c r="D28" t="s">
        <v>24</v>
      </c>
      <c r="E28" t="s">
        <v>25</v>
      </c>
      <c r="F28" t="s">
        <v>21</v>
      </c>
      <c r="G28">
        <v>7596</v>
      </c>
      <c r="H28">
        <v>751</v>
      </c>
      <c r="I28">
        <v>7</v>
      </c>
      <c r="J28" t="str">
        <f t="shared" si="0"/>
        <v>October</v>
      </c>
    </row>
    <row r="29" spans="1:10" x14ac:dyDescent="0.3">
      <c r="A29">
        <v>1028</v>
      </c>
      <c r="B29" t="s">
        <v>58</v>
      </c>
      <c r="C29" t="s">
        <v>10</v>
      </c>
      <c r="D29" t="s">
        <v>27</v>
      </c>
      <c r="E29" t="s">
        <v>28</v>
      </c>
      <c r="F29" t="s">
        <v>13</v>
      </c>
      <c r="G29">
        <v>18457</v>
      </c>
      <c r="H29">
        <v>3750</v>
      </c>
      <c r="I29">
        <v>10</v>
      </c>
      <c r="J29" t="str">
        <f t="shared" si="0"/>
        <v>October</v>
      </c>
    </row>
    <row r="30" spans="1:10" x14ac:dyDescent="0.3">
      <c r="A30">
        <v>1029</v>
      </c>
      <c r="B30" t="s">
        <v>59</v>
      </c>
      <c r="C30" t="s">
        <v>23</v>
      </c>
      <c r="D30" t="s">
        <v>53</v>
      </c>
      <c r="E30" t="s">
        <v>54</v>
      </c>
      <c r="F30" t="s">
        <v>36</v>
      </c>
      <c r="G30">
        <v>15325</v>
      </c>
      <c r="H30">
        <v>1932</v>
      </c>
      <c r="I30">
        <v>7</v>
      </c>
      <c r="J30" t="str">
        <f t="shared" si="0"/>
        <v>October</v>
      </c>
    </row>
    <row r="31" spans="1:10" x14ac:dyDescent="0.3">
      <c r="A31">
        <v>1030</v>
      </c>
      <c r="B31" t="s">
        <v>60</v>
      </c>
      <c r="C31" t="s">
        <v>18</v>
      </c>
      <c r="D31" t="s">
        <v>39</v>
      </c>
      <c r="E31" t="s">
        <v>40</v>
      </c>
      <c r="F31" t="s">
        <v>21</v>
      </c>
      <c r="G31">
        <v>13827</v>
      </c>
      <c r="H31">
        <v>-94</v>
      </c>
      <c r="I31">
        <v>6</v>
      </c>
      <c r="J31" t="str">
        <f t="shared" si="0"/>
        <v>October</v>
      </c>
    </row>
    <row r="32" spans="1:10" x14ac:dyDescent="0.3">
      <c r="A32">
        <v>1031</v>
      </c>
      <c r="B32" t="s">
        <v>61</v>
      </c>
      <c r="C32" t="s">
        <v>23</v>
      </c>
      <c r="D32" t="s">
        <v>53</v>
      </c>
      <c r="E32" t="s">
        <v>54</v>
      </c>
      <c r="F32" t="s">
        <v>21</v>
      </c>
      <c r="G32">
        <v>5660</v>
      </c>
      <c r="H32">
        <v>499</v>
      </c>
      <c r="I32">
        <v>9</v>
      </c>
      <c r="J32" t="str">
        <f t="shared" si="0"/>
        <v>October</v>
      </c>
    </row>
    <row r="33" spans="1:10" x14ac:dyDescent="0.3">
      <c r="A33">
        <v>1032</v>
      </c>
      <c r="B33" t="s">
        <v>62</v>
      </c>
      <c r="C33" t="s">
        <v>10</v>
      </c>
      <c r="D33" t="s">
        <v>27</v>
      </c>
      <c r="E33" t="s">
        <v>28</v>
      </c>
      <c r="F33" t="s">
        <v>36</v>
      </c>
      <c r="G33">
        <v>19427</v>
      </c>
      <c r="H33">
        <v>591</v>
      </c>
      <c r="I33">
        <v>1</v>
      </c>
      <c r="J33" t="str">
        <f t="shared" si="0"/>
        <v>October</v>
      </c>
    </row>
    <row r="34" spans="1:10" x14ac:dyDescent="0.3">
      <c r="A34">
        <v>1033</v>
      </c>
      <c r="B34" t="s">
        <v>63</v>
      </c>
      <c r="C34" t="s">
        <v>10</v>
      </c>
      <c r="D34" t="s">
        <v>27</v>
      </c>
      <c r="E34" t="s">
        <v>28</v>
      </c>
      <c r="F34" t="s">
        <v>32</v>
      </c>
      <c r="G34">
        <v>6195</v>
      </c>
      <c r="H34">
        <v>3204</v>
      </c>
      <c r="I34">
        <v>2</v>
      </c>
      <c r="J34" t="str">
        <f t="shared" ref="J34:J65" si="1">TEXT(A34,"mmmm")</f>
        <v>October</v>
      </c>
    </row>
    <row r="35" spans="1:10" x14ac:dyDescent="0.3">
      <c r="A35">
        <v>1034</v>
      </c>
      <c r="B35" t="s">
        <v>64</v>
      </c>
      <c r="C35" t="s">
        <v>10</v>
      </c>
      <c r="D35" t="s">
        <v>11</v>
      </c>
      <c r="E35" t="s">
        <v>12</v>
      </c>
      <c r="F35" t="s">
        <v>36</v>
      </c>
      <c r="G35">
        <v>7830</v>
      </c>
      <c r="H35">
        <v>714</v>
      </c>
      <c r="I35">
        <v>8</v>
      </c>
      <c r="J35" t="str">
        <f t="shared" si="1"/>
        <v>October</v>
      </c>
    </row>
    <row r="36" spans="1:10" x14ac:dyDescent="0.3">
      <c r="A36">
        <v>1035</v>
      </c>
      <c r="B36" t="s">
        <v>60</v>
      </c>
      <c r="C36" t="s">
        <v>18</v>
      </c>
      <c r="D36" t="s">
        <v>39</v>
      </c>
      <c r="E36" t="s">
        <v>40</v>
      </c>
      <c r="F36" t="s">
        <v>13</v>
      </c>
      <c r="G36">
        <v>19779</v>
      </c>
      <c r="H36">
        <v>1440</v>
      </c>
      <c r="I36">
        <v>6</v>
      </c>
      <c r="J36" t="str">
        <f t="shared" si="1"/>
        <v>October</v>
      </c>
    </row>
    <row r="37" spans="1:10" x14ac:dyDescent="0.3">
      <c r="A37">
        <v>1036</v>
      </c>
      <c r="B37" t="s">
        <v>65</v>
      </c>
      <c r="C37" t="s">
        <v>23</v>
      </c>
      <c r="D37" t="s">
        <v>34</v>
      </c>
      <c r="E37" t="s">
        <v>35</v>
      </c>
      <c r="F37" t="s">
        <v>36</v>
      </c>
      <c r="G37">
        <v>3300</v>
      </c>
      <c r="H37">
        <v>56</v>
      </c>
      <c r="I37">
        <v>9</v>
      </c>
      <c r="J37" t="str">
        <f t="shared" si="1"/>
        <v>November</v>
      </c>
    </row>
    <row r="38" spans="1:10" x14ac:dyDescent="0.3">
      <c r="A38">
        <v>1037</v>
      </c>
      <c r="B38" t="s">
        <v>57</v>
      </c>
      <c r="C38" t="s">
        <v>18</v>
      </c>
      <c r="D38" t="s">
        <v>39</v>
      </c>
      <c r="E38" t="s">
        <v>40</v>
      </c>
      <c r="F38" t="s">
        <v>32</v>
      </c>
      <c r="G38">
        <v>2611</v>
      </c>
      <c r="H38">
        <v>3032</v>
      </c>
      <c r="I38">
        <v>2</v>
      </c>
      <c r="J38" t="str">
        <f t="shared" si="1"/>
        <v>November</v>
      </c>
    </row>
    <row r="39" spans="1:10" x14ac:dyDescent="0.3">
      <c r="A39">
        <v>1038</v>
      </c>
      <c r="B39" t="s">
        <v>66</v>
      </c>
      <c r="C39" t="s">
        <v>23</v>
      </c>
      <c r="D39" t="s">
        <v>53</v>
      </c>
      <c r="E39" t="s">
        <v>54</v>
      </c>
      <c r="F39" t="s">
        <v>36</v>
      </c>
      <c r="G39">
        <v>17929</v>
      </c>
      <c r="H39">
        <v>4053</v>
      </c>
      <c r="I39">
        <v>2</v>
      </c>
      <c r="J39" t="str">
        <f t="shared" si="1"/>
        <v>November</v>
      </c>
    </row>
    <row r="40" spans="1:10" x14ac:dyDescent="0.3">
      <c r="A40">
        <v>1039</v>
      </c>
      <c r="B40" t="s">
        <v>67</v>
      </c>
      <c r="C40" t="s">
        <v>10</v>
      </c>
      <c r="D40" t="s">
        <v>15</v>
      </c>
      <c r="E40" t="s">
        <v>16</v>
      </c>
      <c r="F40" t="s">
        <v>21</v>
      </c>
      <c r="G40">
        <v>17917</v>
      </c>
      <c r="H40">
        <v>3467</v>
      </c>
      <c r="I40">
        <v>8</v>
      </c>
      <c r="J40" t="str">
        <f t="shared" si="1"/>
        <v>November</v>
      </c>
    </row>
    <row r="41" spans="1:10" x14ac:dyDescent="0.3">
      <c r="A41">
        <v>1040</v>
      </c>
      <c r="B41" t="s">
        <v>68</v>
      </c>
      <c r="C41" t="s">
        <v>23</v>
      </c>
      <c r="D41" t="s">
        <v>24</v>
      </c>
      <c r="E41" t="s">
        <v>25</v>
      </c>
      <c r="F41" t="s">
        <v>36</v>
      </c>
      <c r="G41">
        <v>3209</v>
      </c>
      <c r="H41">
        <v>794</v>
      </c>
      <c r="I41">
        <v>4</v>
      </c>
      <c r="J41" t="str">
        <f t="shared" si="1"/>
        <v>November</v>
      </c>
    </row>
    <row r="42" spans="1:10" x14ac:dyDescent="0.3">
      <c r="A42">
        <v>1041</v>
      </c>
      <c r="B42" t="s">
        <v>69</v>
      </c>
      <c r="C42" t="s">
        <v>23</v>
      </c>
      <c r="D42" t="s">
        <v>24</v>
      </c>
      <c r="E42" t="s">
        <v>25</v>
      </c>
      <c r="F42" t="s">
        <v>21</v>
      </c>
      <c r="G42">
        <v>14322</v>
      </c>
      <c r="H42">
        <v>3114</v>
      </c>
      <c r="I42">
        <v>9</v>
      </c>
      <c r="J42" t="str">
        <f t="shared" si="1"/>
        <v>November</v>
      </c>
    </row>
    <row r="43" spans="1:10" x14ac:dyDescent="0.3">
      <c r="A43">
        <v>1042</v>
      </c>
      <c r="B43" t="s">
        <v>44</v>
      </c>
      <c r="C43" t="s">
        <v>18</v>
      </c>
      <c r="D43" t="s">
        <v>39</v>
      </c>
      <c r="E43" t="s">
        <v>40</v>
      </c>
      <c r="F43" t="s">
        <v>21</v>
      </c>
      <c r="G43">
        <v>2027</v>
      </c>
      <c r="H43">
        <v>2689</v>
      </c>
      <c r="I43">
        <v>10</v>
      </c>
      <c r="J43" t="str">
        <f t="shared" si="1"/>
        <v>November</v>
      </c>
    </row>
    <row r="44" spans="1:10" x14ac:dyDescent="0.3">
      <c r="A44">
        <v>1043</v>
      </c>
      <c r="B44" t="s">
        <v>70</v>
      </c>
      <c r="C44" t="s">
        <v>23</v>
      </c>
      <c r="D44" t="s">
        <v>34</v>
      </c>
      <c r="E44" t="s">
        <v>35</v>
      </c>
      <c r="F44" t="s">
        <v>21</v>
      </c>
      <c r="G44">
        <v>7399</v>
      </c>
      <c r="H44">
        <v>-228</v>
      </c>
      <c r="I44">
        <v>7</v>
      </c>
      <c r="J44" t="str">
        <f t="shared" si="1"/>
        <v>November</v>
      </c>
    </row>
    <row r="45" spans="1:10" x14ac:dyDescent="0.3">
      <c r="A45">
        <v>1044</v>
      </c>
      <c r="B45" t="s">
        <v>66</v>
      </c>
      <c r="C45" t="s">
        <v>10</v>
      </c>
      <c r="D45" t="s">
        <v>15</v>
      </c>
      <c r="E45" t="s">
        <v>16</v>
      </c>
      <c r="F45" t="s">
        <v>36</v>
      </c>
      <c r="G45">
        <v>1521</v>
      </c>
      <c r="H45">
        <v>4420</v>
      </c>
      <c r="I45">
        <v>2</v>
      </c>
      <c r="J45" t="str">
        <f t="shared" si="1"/>
        <v>November</v>
      </c>
    </row>
    <row r="46" spans="1:10" x14ac:dyDescent="0.3">
      <c r="A46">
        <v>1045</v>
      </c>
      <c r="B46" t="s">
        <v>71</v>
      </c>
      <c r="C46" t="s">
        <v>18</v>
      </c>
      <c r="D46" t="s">
        <v>39</v>
      </c>
      <c r="E46" t="s">
        <v>40</v>
      </c>
      <c r="F46" t="s">
        <v>13</v>
      </c>
      <c r="G46">
        <v>9998</v>
      </c>
      <c r="H46">
        <v>2905</v>
      </c>
      <c r="I46">
        <v>7</v>
      </c>
      <c r="J46" t="str">
        <f t="shared" si="1"/>
        <v>November</v>
      </c>
    </row>
    <row r="47" spans="1:10" x14ac:dyDescent="0.3">
      <c r="A47">
        <v>1046</v>
      </c>
      <c r="B47" t="s">
        <v>72</v>
      </c>
      <c r="C47" t="s">
        <v>18</v>
      </c>
      <c r="D47" t="s">
        <v>39</v>
      </c>
      <c r="E47" t="s">
        <v>40</v>
      </c>
      <c r="F47" t="s">
        <v>32</v>
      </c>
      <c r="G47">
        <v>2331</v>
      </c>
      <c r="H47">
        <v>-304</v>
      </c>
      <c r="I47">
        <v>3</v>
      </c>
      <c r="J47" t="str">
        <f t="shared" si="1"/>
        <v>November</v>
      </c>
    </row>
    <row r="48" spans="1:10" x14ac:dyDescent="0.3">
      <c r="A48">
        <v>1047</v>
      </c>
      <c r="B48" t="s">
        <v>73</v>
      </c>
      <c r="C48" t="s">
        <v>10</v>
      </c>
      <c r="D48" t="s">
        <v>15</v>
      </c>
      <c r="E48" t="s">
        <v>16</v>
      </c>
      <c r="F48" t="s">
        <v>32</v>
      </c>
      <c r="G48">
        <v>18890</v>
      </c>
      <c r="H48">
        <v>2589</v>
      </c>
      <c r="I48">
        <v>9</v>
      </c>
      <c r="J48" t="str">
        <f t="shared" si="1"/>
        <v>November</v>
      </c>
    </row>
    <row r="49" spans="1:10" x14ac:dyDescent="0.3">
      <c r="A49">
        <v>1048</v>
      </c>
      <c r="B49" t="s">
        <v>74</v>
      </c>
      <c r="C49" t="s">
        <v>10</v>
      </c>
      <c r="D49" t="s">
        <v>15</v>
      </c>
      <c r="E49" t="s">
        <v>16</v>
      </c>
      <c r="F49" t="s">
        <v>32</v>
      </c>
      <c r="G49">
        <v>14804</v>
      </c>
      <c r="H49">
        <v>2322</v>
      </c>
      <c r="I49">
        <v>1</v>
      </c>
      <c r="J49" t="str">
        <f t="shared" si="1"/>
        <v>November</v>
      </c>
    </row>
    <row r="50" spans="1:10" x14ac:dyDescent="0.3">
      <c r="A50">
        <v>1049</v>
      </c>
      <c r="B50" t="s">
        <v>75</v>
      </c>
      <c r="C50" t="s">
        <v>23</v>
      </c>
      <c r="D50" t="s">
        <v>34</v>
      </c>
      <c r="E50" t="s">
        <v>35</v>
      </c>
      <c r="F50" t="s">
        <v>21</v>
      </c>
      <c r="G50">
        <v>14029</v>
      </c>
      <c r="H50">
        <v>599</v>
      </c>
      <c r="I50">
        <v>3</v>
      </c>
      <c r="J50" t="str">
        <f t="shared" si="1"/>
        <v>November</v>
      </c>
    </row>
    <row r="51" spans="1:10" x14ac:dyDescent="0.3">
      <c r="A51">
        <v>1050</v>
      </c>
      <c r="B51" t="s">
        <v>76</v>
      </c>
      <c r="C51" t="s">
        <v>23</v>
      </c>
      <c r="D51" t="s">
        <v>53</v>
      </c>
      <c r="E51" t="s">
        <v>54</v>
      </c>
      <c r="F51" t="s">
        <v>21</v>
      </c>
      <c r="G51">
        <v>11517</v>
      </c>
      <c r="H51">
        <v>4289</v>
      </c>
      <c r="I51">
        <v>5</v>
      </c>
      <c r="J51" t="str">
        <f t="shared" si="1"/>
        <v>November</v>
      </c>
    </row>
    <row r="52" spans="1:10" x14ac:dyDescent="0.3">
      <c r="A52">
        <v>1051</v>
      </c>
      <c r="B52" t="s">
        <v>77</v>
      </c>
      <c r="C52" t="s">
        <v>23</v>
      </c>
      <c r="D52" t="s">
        <v>34</v>
      </c>
      <c r="E52" t="s">
        <v>35</v>
      </c>
      <c r="F52" t="s">
        <v>32</v>
      </c>
      <c r="G52">
        <v>9722</v>
      </c>
      <c r="H52">
        <v>2485</v>
      </c>
      <c r="I52">
        <v>4</v>
      </c>
      <c r="J52" t="str">
        <f t="shared" si="1"/>
        <v>November</v>
      </c>
    </row>
    <row r="53" spans="1:10" x14ac:dyDescent="0.3">
      <c r="A53">
        <v>1052</v>
      </c>
      <c r="B53" t="s">
        <v>78</v>
      </c>
      <c r="C53" t="s">
        <v>18</v>
      </c>
      <c r="D53" t="s">
        <v>39</v>
      </c>
      <c r="E53" t="s">
        <v>40</v>
      </c>
      <c r="F53" t="s">
        <v>21</v>
      </c>
      <c r="G53">
        <v>4490</v>
      </c>
      <c r="H53">
        <v>1414</v>
      </c>
      <c r="I53">
        <v>1</v>
      </c>
      <c r="J53" t="str">
        <f t="shared" si="1"/>
        <v>November</v>
      </c>
    </row>
    <row r="54" spans="1:10" x14ac:dyDescent="0.3">
      <c r="A54">
        <v>1053</v>
      </c>
      <c r="B54" t="s">
        <v>67</v>
      </c>
      <c r="C54" t="s">
        <v>18</v>
      </c>
      <c r="D54" t="s">
        <v>42</v>
      </c>
      <c r="E54" t="s">
        <v>43</v>
      </c>
      <c r="F54" t="s">
        <v>36</v>
      </c>
      <c r="G54">
        <v>8535</v>
      </c>
      <c r="H54">
        <v>1107</v>
      </c>
      <c r="I54">
        <v>3</v>
      </c>
      <c r="J54" t="str">
        <f t="shared" si="1"/>
        <v>November</v>
      </c>
    </row>
    <row r="55" spans="1:10" x14ac:dyDescent="0.3">
      <c r="A55">
        <v>1054</v>
      </c>
      <c r="B55" t="s">
        <v>79</v>
      </c>
      <c r="C55" t="s">
        <v>23</v>
      </c>
      <c r="D55" t="s">
        <v>34</v>
      </c>
      <c r="E55" t="s">
        <v>35</v>
      </c>
      <c r="F55" t="s">
        <v>13</v>
      </c>
      <c r="G55">
        <v>18122</v>
      </c>
      <c r="H55">
        <v>1720</v>
      </c>
      <c r="I55">
        <v>9</v>
      </c>
      <c r="J55" t="str">
        <f t="shared" si="1"/>
        <v>November</v>
      </c>
    </row>
    <row r="56" spans="1:10" x14ac:dyDescent="0.3">
      <c r="A56">
        <v>1055</v>
      </c>
      <c r="B56" t="s">
        <v>37</v>
      </c>
      <c r="C56" t="s">
        <v>23</v>
      </c>
      <c r="D56" t="s">
        <v>53</v>
      </c>
      <c r="E56" t="s">
        <v>54</v>
      </c>
      <c r="F56" t="s">
        <v>21</v>
      </c>
      <c r="G56">
        <v>15977</v>
      </c>
      <c r="H56">
        <v>1818</v>
      </c>
      <c r="I56">
        <v>3</v>
      </c>
      <c r="J56" t="str">
        <f t="shared" si="1"/>
        <v>November</v>
      </c>
    </row>
    <row r="57" spans="1:10" x14ac:dyDescent="0.3">
      <c r="A57">
        <v>1056</v>
      </c>
      <c r="B57" t="s">
        <v>80</v>
      </c>
      <c r="C57" t="s">
        <v>18</v>
      </c>
      <c r="D57" t="s">
        <v>19</v>
      </c>
      <c r="E57" t="s">
        <v>20</v>
      </c>
      <c r="F57" t="s">
        <v>32</v>
      </c>
      <c r="G57">
        <v>8883</v>
      </c>
      <c r="H57">
        <v>4143</v>
      </c>
      <c r="I57">
        <v>1</v>
      </c>
      <c r="J57" t="str">
        <f t="shared" si="1"/>
        <v>November</v>
      </c>
    </row>
    <row r="58" spans="1:10" x14ac:dyDescent="0.3">
      <c r="A58">
        <v>1057</v>
      </c>
      <c r="B58" t="s">
        <v>81</v>
      </c>
      <c r="C58" t="s">
        <v>23</v>
      </c>
      <c r="D58" t="s">
        <v>53</v>
      </c>
      <c r="E58" t="s">
        <v>54</v>
      </c>
      <c r="F58" t="s">
        <v>21</v>
      </c>
      <c r="G58">
        <v>10745</v>
      </c>
      <c r="H58">
        <v>4019</v>
      </c>
      <c r="I58">
        <v>9</v>
      </c>
      <c r="J58" t="str">
        <f t="shared" si="1"/>
        <v>November</v>
      </c>
    </row>
    <row r="59" spans="1:10" x14ac:dyDescent="0.3">
      <c r="A59">
        <v>1058</v>
      </c>
      <c r="B59" t="s">
        <v>38</v>
      </c>
      <c r="C59" t="s">
        <v>18</v>
      </c>
      <c r="D59" t="s">
        <v>19</v>
      </c>
      <c r="E59" t="s">
        <v>20</v>
      </c>
      <c r="F59" t="s">
        <v>36</v>
      </c>
      <c r="G59">
        <v>19971</v>
      </c>
      <c r="H59">
        <v>439</v>
      </c>
      <c r="I59">
        <v>6</v>
      </c>
      <c r="J59" t="str">
        <f t="shared" si="1"/>
        <v>November</v>
      </c>
    </row>
    <row r="60" spans="1:10" x14ac:dyDescent="0.3">
      <c r="A60">
        <v>1059</v>
      </c>
      <c r="B60" t="s">
        <v>82</v>
      </c>
      <c r="C60" t="s">
        <v>18</v>
      </c>
      <c r="D60" t="s">
        <v>39</v>
      </c>
      <c r="E60" t="s">
        <v>40</v>
      </c>
      <c r="F60" t="s">
        <v>32</v>
      </c>
      <c r="G60">
        <v>10090</v>
      </c>
      <c r="H60">
        <v>4118</v>
      </c>
      <c r="I60">
        <v>10</v>
      </c>
      <c r="J60" t="str">
        <f t="shared" si="1"/>
        <v>November</v>
      </c>
    </row>
    <row r="61" spans="1:10" x14ac:dyDescent="0.3">
      <c r="A61">
        <v>1060</v>
      </c>
      <c r="B61" t="s">
        <v>83</v>
      </c>
      <c r="C61" t="s">
        <v>23</v>
      </c>
      <c r="D61" t="s">
        <v>24</v>
      </c>
      <c r="E61" t="s">
        <v>25</v>
      </c>
      <c r="F61" t="s">
        <v>21</v>
      </c>
      <c r="G61">
        <v>10161</v>
      </c>
      <c r="H61">
        <v>50</v>
      </c>
      <c r="I61">
        <v>5</v>
      </c>
      <c r="J61" t="str">
        <f t="shared" si="1"/>
        <v>November</v>
      </c>
    </row>
    <row r="62" spans="1:10" x14ac:dyDescent="0.3">
      <c r="A62">
        <v>1061</v>
      </c>
      <c r="B62" t="s">
        <v>84</v>
      </c>
      <c r="C62" t="s">
        <v>18</v>
      </c>
      <c r="D62" t="s">
        <v>39</v>
      </c>
      <c r="E62" t="s">
        <v>40</v>
      </c>
      <c r="F62" t="s">
        <v>21</v>
      </c>
      <c r="G62">
        <v>19305</v>
      </c>
      <c r="H62">
        <v>302</v>
      </c>
      <c r="I62">
        <v>8</v>
      </c>
      <c r="J62" t="str">
        <f t="shared" si="1"/>
        <v>November</v>
      </c>
    </row>
    <row r="63" spans="1:10" x14ac:dyDescent="0.3">
      <c r="A63">
        <v>1062</v>
      </c>
      <c r="B63" t="s">
        <v>85</v>
      </c>
      <c r="C63" t="s">
        <v>23</v>
      </c>
      <c r="D63" t="s">
        <v>34</v>
      </c>
      <c r="E63" t="s">
        <v>35</v>
      </c>
      <c r="F63" t="s">
        <v>32</v>
      </c>
      <c r="G63">
        <v>14202</v>
      </c>
      <c r="H63">
        <v>37</v>
      </c>
      <c r="I63">
        <v>4</v>
      </c>
      <c r="J63" t="str">
        <f t="shared" si="1"/>
        <v>November</v>
      </c>
    </row>
    <row r="64" spans="1:10" x14ac:dyDescent="0.3">
      <c r="A64">
        <v>1063</v>
      </c>
      <c r="B64" t="s">
        <v>86</v>
      </c>
      <c r="C64" t="s">
        <v>10</v>
      </c>
      <c r="D64" t="s">
        <v>27</v>
      </c>
      <c r="E64" t="s">
        <v>28</v>
      </c>
      <c r="F64" t="s">
        <v>32</v>
      </c>
      <c r="G64">
        <v>7374</v>
      </c>
      <c r="H64">
        <v>131</v>
      </c>
      <c r="I64">
        <v>8</v>
      </c>
      <c r="J64" t="str">
        <f t="shared" si="1"/>
        <v>November</v>
      </c>
    </row>
    <row r="65" spans="1:10" x14ac:dyDescent="0.3">
      <c r="A65">
        <v>1064</v>
      </c>
      <c r="B65" t="s">
        <v>87</v>
      </c>
      <c r="C65" t="s">
        <v>23</v>
      </c>
      <c r="D65" t="s">
        <v>34</v>
      </c>
      <c r="E65" t="s">
        <v>35</v>
      </c>
      <c r="F65" t="s">
        <v>21</v>
      </c>
      <c r="G65">
        <v>6046</v>
      </c>
      <c r="H65">
        <v>-236</v>
      </c>
      <c r="I65">
        <v>8</v>
      </c>
      <c r="J65" t="str">
        <f t="shared" si="1"/>
        <v>November</v>
      </c>
    </row>
    <row r="66" spans="1:10" x14ac:dyDescent="0.3">
      <c r="A66">
        <v>1065</v>
      </c>
      <c r="B66" t="s">
        <v>88</v>
      </c>
      <c r="C66" t="s">
        <v>23</v>
      </c>
      <c r="D66" t="s">
        <v>53</v>
      </c>
      <c r="E66" t="s">
        <v>54</v>
      </c>
      <c r="F66" t="s">
        <v>21</v>
      </c>
      <c r="G66">
        <v>10989</v>
      </c>
      <c r="H66">
        <v>2457</v>
      </c>
      <c r="I66">
        <v>7</v>
      </c>
      <c r="J66" t="str">
        <f t="shared" ref="J66:J101" si="2">TEXT(A66,"mmmm")</f>
        <v>November</v>
      </c>
    </row>
    <row r="67" spans="1:10" x14ac:dyDescent="0.3">
      <c r="A67">
        <v>1066</v>
      </c>
      <c r="B67" t="s">
        <v>89</v>
      </c>
      <c r="C67" t="s">
        <v>18</v>
      </c>
      <c r="D67" t="s">
        <v>39</v>
      </c>
      <c r="E67" t="s">
        <v>40</v>
      </c>
      <c r="F67" t="s">
        <v>36</v>
      </c>
      <c r="G67">
        <v>14570</v>
      </c>
      <c r="H67">
        <v>3569</v>
      </c>
      <c r="I67">
        <v>3</v>
      </c>
      <c r="J67" t="str">
        <f t="shared" si="2"/>
        <v>December</v>
      </c>
    </row>
    <row r="68" spans="1:10" x14ac:dyDescent="0.3">
      <c r="A68">
        <v>1067</v>
      </c>
      <c r="B68" t="s">
        <v>90</v>
      </c>
      <c r="C68" t="s">
        <v>18</v>
      </c>
      <c r="D68" t="s">
        <v>39</v>
      </c>
      <c r="E68" t="s">
        <v>40</v>
      </c>
      <c r="F68" t="s">
        <v>21</v>
      </c>
      <c r="G68">
        <v>13409</v>
      </c>
      <c r="H68">
        <v>795</v>
      </c>
      <c r="I68">
        <v>1</v>
      </c>
      <c r="J68" t="str">
        <f t="shared" si="2"/>
        <v>December</v>
      </c>
    </row>
    <row r="69" spans="1:10" x14ac:dyDescent="0.3">
      <c r="A69">
        <v>1068</v>
      </c>
      <c r="B69" t="s">
        <v>91</v>
      </c>
      <c r="C69" t="s">
        <v>18</v>
      </c>
      <c r="D69" t="s">
        <v>19</v>
      </c>
      <c r="E69" t="s">
        <v>20</v>
      </c>
      <c r="F69" t="s">
        <v>21</v>
      </c>
      <c r="G69">
        <v>13704</v>
      </c>
      <c r="H69">
        <v>3713</v>
      </c>
      <c r="I69">
        <v>1</v>
      </c>
      <c r="J69" t="str">
        <f t="shared" si="2"/>
        <v>December</v>
      </c>
    </row>
    <row r="70" spans="1:10" x14ac:dyDescent="0.3">
      <c r="A70">
        <v>1069</v>
      </c>
      <c r="B70" t="s">
        <v>92</v>
      </c>
      <c r="C70" t="s">
        <v>18</v>
      </c>
      <c r="D70" t="s">
        <v>39</v>
      </c>
      <c r="E70" t="s">
        <v>40</v>
      </c>
      <c r="F70" t="s">
        <v>32</v>
      </c>
      <c r="G70">
        <v>2326</v>
      </c>
      <c r="H70">
        <v>841</v>
      </c>
      <c r="I70">
        <v>5</v>
      </c>
      <c r="J70" t="str">
        <f t="shared" si="2"/>
        <v>December</v>
      </c>
    </row>
    <row r="71" spans="1:10" x14ac:dyDescent="0.3">
      <c r="A71">
        <v>1070</v>
      </c>
      <c r="B71" t="s">
        <v>93</v>
      </c>
      <c r="C71" t="s">
        <v>10</v>
      </c>
      <c r="D71" t="s">
        <v>11</v>
      </c>
      <c r="E71" t="s">
        <v>12</v>
      </c>
      <c r="F71" t="s">
        <v>36</v>
      </c>
      <c r="G71">
        <v>17067</v>
      </c>
      <c r="H71">
        <v>3245</v>
      </c>
      <c r="I71">
        <v>7</v>
      </c>
      <c r="J71" t="str">
        <f t="shared" si="2"/>
        <v>December</v>
      </c>
    </row>
    <row r="72" spans="1:10" x14ac:dyDescent="0.3">
      <c r="A72">
        <v>1071</v>
      </c>
      <c r="B72" t="s">
        <v>50</v>
      </c>
      <c r="C72" t="s">
        <v>23</v>
      </c>
      <c r="D72" t="s">
        <v>53</v>
      </c>
      <c r="E72" t="s">
        <v>54</v>
      </c>
      <c r="F72" t="s">
        <v>21</v>
      </c>
      <c r="G72">
        <v>13669</v>
      </c>
      <c r="H72">
        <v>2072</v>
      </c>
      <c r="I72">
        <v>8</v>
      </c>
      <c r="J72" t="str">
        <f t="shared" si="2"/>
        <v>December</v>
      </c>
    </row>
    <row r="73" spans="1:10" x14ac:dyDescent="0.3">
      <c r="A73">
        <v>1072</v>
      </c>
      <c r="B73" t="s">
        <v>94</v>
      </c>
      <c r="C73" t="s">
        <v>10</v>
      </c>
      <c r="D73" t="s">
        <v>15</v>
      </c>
      <c r="E73" t="s">
        <v>16</v>
      </c>
      <c r="F73" t="s">
        <v>21</v>
      </c>
      <c r="G73">
        <v>3010</v>
      </c>
      <c r="H73">
        <v>2912</v>
      </c>
      <c r="I73">
        <v>4</v>
      </c>
      <c r="J73" t="str">
        <f t="shared" si="2"/>
        <v>December</v>
      </c>
    </row>
    <row r="74" spans="1:10" x14ac:dyDescent="0.3">
      <c r="A74">
        <v>1073</v>
      </c>
      <c r="B74" t="s">
        <v>95</v>
      </c>
      <c r="C74" t="s">
        <v>23</v>
      </c>
      <c r="D74" t="s">
        <v>53</v>
      </c>
      <c r="E74" t="s">
        <v>54</v>
      </c>
      <c r="F74" t="s">
        <v>36</v>
      </c>
      <c r="G74">
        <v>14585</v>
      </c>
      <c r="H74">
        <v>3189</v>
      </c>
      <c r="I74">
        <v>7</v>
      </c>
      <c r="J74" t="str">
        <f t="shared" si="2"/>
        <v>December</v>
      </c>
    </row>
    <row r="75" spans="1:10" x14ac:dyDescent="0.3">
      <c r="A75">
        <v>1074</v>
      </c>
      <c r="B75" t="s">
        <v>96</v>
      </c>
      <c r="C75" t="s">
        <v>10</v>
      </c>
      <c r="D75" t="s">
        <v>15</v>
      </c>
      <c r="E75" t="s">
        <v>16</v>
      </c>
      <c r="F75" t="s">
        <v>21</v>
      </c>
      <c r="G75">
        <v>5135</v>
      </c>
      <c r="H75">
        <v>383</v>
      </c>
      <c r="I75">
        <v>7</v>
      </c>
      <c r="J75" t="str">
        <f t="shared" si="2"/>
        <v>December</v>
      </c>
    </row>
    <row r="76" spans="1:10" x14ac:dyDescent="0.3">
      <c r="A76">
        <v>1075</v>
      </c>
      <c r="B76" t="s">
        <v>97</v>
      </c>
      <c r="C76" t="s">
        <v>18</v>
      </c>
      <c r="D76" t="s">
        <v>19</v>
      </c>
      <c r="E76" t="s">
        <v>20</v>
      </c>
      <c r="F76" t="s">
        <v>13</v>
      </c>
      <c r="G76">
        <v>11627</v>
      </c>
      <c r="H76">
        <v>960</v>
      </c>
      <c r="I76">
        <v>10</v>
      </c>
      <c r="J76" t="str">
        <f t="shared" si="2"/>
        <v>December</v>
      </c>
    </row>
    <row r="77" spans="1:10" x14ac:dyDescent="0.3">
      <c r="A77">
        <v>1076</v>
      </c>
      <c r="B77" t="s">
        <v>77</v>
      </c>
      <c r="C77" t="s">
        <v>23</v>
      </c>
      <c r="D77" t="s">
        <v>53</v>
      </c>
      <c r="E77" t="s">
        <v>54</v>
      </c>
      <c r="F77" t="s">
        <v>21</v>
      </c>
      <c r="G77">
        <v>18771</v>
      </c>
      <c r="H77">
        <v>2729</v>
      </c>
      <c r="I77">
        <v>9</v>
      </c>
      <c r="J77" t="str">
        <f t="shared" si="2"/>
        <v>December</v>
      </c>
    </row>
    <row r="78" spans="1:10" x14ac:dyDescent="0.3">
      <c r="A78">
        <v>1077</v>
      </c>
      <c r="B78" t="s">
        <v>70</v>
      </c>
      <c r="C78" t="s">
        <v>23</v>
      </c>
      <c r="D78" t="s">
        <v>53</v>
      </c>
      <c r="E78" t="s">
        <v>54</v>
      </c>
      <c r="F78" t="s">
        <v>32</v>
      </c>
      <c r="G78">
        <v>15621</v>
      </c>
      <c r="H78">
        <v>2604</v>
      </c>
      <c r="I78">
        <v>4</v>
      </c>
      <c r="J78" t="str">
        <f t="shared" si="2"/>
        <v>December</v>
      </c>
    </row>
    <row r="79" spans="1:10" x14ac:dyDescent="0.3">
      <c r="A79">
        <v>1078</v>
      </c>
      <c r="B79" t="s">
        <v>67</v>
      </c>
      <c r="C79" t="s">
        <v>23</v>
      </c>
      <c r="D79" t="s">
        <v>34</v>
      </c>
      <c r="E79" t="s">
        <v>35</v>
      </c>
      <c r="F79" t="s">
        <v>32</v>
      </c>
      <c r="G79">
        <v>17133</v>
      </c>
      <c r="H79">
        <v>3085</v>
      </c>
      <c r="I79">
        <v>1</v>
      </c>
      <c r="J79" t="str">
        <f t="shared" si="2"/>
        <v>December</v>
      </c>
    </row>
    <row r="80" spans="1:10" x14ac:dyDescent="0.3">
      <c r="A80">
        <v>1079</v>
      </c>
      <c r="B80" t="s">
        <v>98</v>
      </c>
      <c r="C80" t="s">
        <v>23</v>
      </c>
      <c r="D80" t="s">
        <v>24</v>
      </c>
      <c r="E80" t="s">
        <v>25</v>
      </c>
      <c r="F80" t="s">
        <v>32</v>
      </c>
      <c r="G80">
        <v>18027</v>
      </c>
      <c r="H80">
        <v>2454</v>
      </c>
      <c r="I80">
        <v>9</v>
      </c>
      <c r="J80" t="str">
        <f t="shared" si="2"/>
        <v>December</v>
      </c>
    </row>
    <row r="81" spans="1:10" x14ac:dyDescent="0.3">
      <c r="A81">
        <v>1080</v>
      </c>
      <c r="B81" t="s">
        <v>83</v>
      </c>
      <c r="C81" t="s">
        <v>23</v>
      </c>
      <c r="D81" t="s">
        <v>24</v>
      </c>
      <c r="E81" t="s">
        <v>25</v>
      </c>
      <c r="F81" t="s">
        <v>32</v>
      </c>
      <c r="G81">
        <v>5578</v>
      </c>
      <c r="H81">
        <v>-411</v>
      </c>
      <c r="I81">
        <v>8</v>
      </c>
      <c r="J81" t="str">
        <f t="shared" si="2"/>
        <v>December</v>
      </c>
    </row>
    <row r="82" spans="1:10" x14ac:dyDescent="0.3">
      <c r="A82">
        <v>1081</v>
      </c>
      <c r="B82" t="s">
        <v>90</v>
      </c>
      <c r="C82" t="s">
        <v>10</v>
      </c>
      <c r="D82" t="s">
        <v>15</v>
      </c>
      <c r="E82" t="s">
        <v>16</v>
      </c>
      <c r="F82" t="s">
        <v>21</v>
      </c>
      <c r="G82">
        <v>19588</v>
      </c>
      <c r="H82">
        <v>4783</v>
      </c>
      <c r="I82">
        <v>8</v>
      </c>
      <c r="J82" t="str">
        <f t="shared" si="2"/>
        <v>December</v>
      </c>
    </row>
    <row r="83" spans="1:10" x14ac:dyDescent="0.3">
      <c r="A83">
        <v>1082</v>
      </c>
      <c r="B83" t="s">
        <v>30</v>
      </c>
      <c r="C83" t="s">
        <v>10</v>
      </c>
      <c r="D83" t="s">
        <v>27</v>
      </c>
      <c r="E83" t="s">
        <v>28</v>
      </c>
      <c r="F83" t="s">
        <v>13</v>
      </c>
      <c r="G83">
        <v>6466</v>
      </c>
      <c r="H83">
        <v>2758</v>
      </c>
      <c r="I83">
        <v>5</v>
      </c>
      <c r="J83" t="str">
        <f t="shared" si="2"/>
        <v>December</v>
      </c>
    </row>
    <row r="84" spans="1:10" x14ac:dyDescent="0.3">
      <c r="A84">
        <v>1083</v>
      </c>
      <c r="B84" t="s">
        <v>99</v>
      </c>
      <c r="C84" t="s">
        <v>23</v>
      </c>
      <c r="D84" t="s">
        <v>53</v>
      </c>
      <c r="E84" t="s">
        <v>54</v>
      </c>
      <c r="F84" t="s">
        <v>32</v>
      </c>
      <c r="G84">
        <v>18879</v>
      </c>
      <c r="H84">
        <v>4828</v>
      </c>
      <c r="I84">
        <v>10</v>
      </c>
      <c r="J84" t="str">
        <f t="shared" si="2"/>
        <v>December</v>
      </c>
    </row>
    <row r="85" spans="1:10" x14ac:dyDescent="0.3">
      <c r="A85">
        <v>1084</v>
      </c>
      <c r="B85" t="s">
        <v>100</v>
      </c>
      <c r="C85" t="s">
        <v>10</v>
      </c>
      <c r="D85" t="s">
        <v>11</v>
      </c>
      <c r="E85" t="s">
        <v>12</v>
      </c>
      <c r="F85" t="s">
        <v>32</v>
      </c>
      <c r="G85">
        <v>6438</v>
      </c>
      <c r="H85">
        <v>2535</v>
      </c>
      <c r="I85">
        <v>9</v>
      </c>
      <c r="J85" t="str">
        <f t="shared" si="2"/>
        <v>December</v>
      </c>
    </row>
    <row r="86" spans="1:10" x14ac:dyDescent="0.3">
      <c r="A86">
        <v>1085</v>
      </c>
      <c r="B86" t="s">
        <v>101</v>
      </c>
      <c r="C86" t="s">
        <v>18</v>
      </c>
      <c r="D86" t="s">
        <v>19</v>
      </c>
      <c r="E86" t="s">
        <v>20</v>
      </c>
      <c r="F86" t="s">
        <v>21</v>
      </c>
      <c r="G86">
        <v>15146</v>
      </c>
      <c r="H86">
        <v>2296</v>
      </c>
      <c r="I86">
        <v>8</v>
      </c>
      <c r="J86" t="str">
        <f t="shared" si="2"/>
        <v>December</v>
      </c>
    </row>
    <row r="87" spans="1:10" x14ac:dyDescent="0.3">
      <c r="A87">
        <v>1086</v>
      </c>
      <c r="B87" t="s">
        <v>102</v>
      </c>
      <c r="C87" t="s">
        <v>23</v>
      </c>
      <c r="D87" t="s">
        <v>53</v>
      </c>
      <c r="E87" t="s">
        <v>54</v>
      </c>
      <c r="F87" t="s">
        <v>13</v>
      </c>
      <c r="G87">
        <v>6923</v>
      </c>
      <c r="H87">
        <v>3754</v>
      </c>
      <c r="I87">
        <v>3</v>
      </c>
      <c r="J87" t="str">
        <f t="shared" si="2"/>
        <v>December</v>
      </c>
    </row>
    <row r="88" spans="1:10" x14ac:dyDescent="0.3">
      <c r="A88">
        <v>1087</v>
      </c>
      <c r="B88" t="s">
        <v>103</v>
      </c>
      <c r="C88" t="s">
        <v>10</v>
      </c>
      <c r="D88" t="s">
        <v>11</v>
      </c>
      <c r="E88" t="s">
        <v>12</v>
      </c>
      <c r="F88" t="s">
        <v>32</v>
      </c>
      <c r="G88">
        <v>9624</v>
      </c>
      <c r="H88">
        <v>1014</v>
      </c>
      <c r="I88">
        <v>8</v>
      </c>
      <c r="J88" t="str">
        <f t="shared" si="2"/>
        <v>December</v>
      </c>
    </row>
    <row r="89" spans="1:10" x14ac:dyDescent="0.3">
      <c r="A89">
        <v>1088</v>
      </c>
      <c r="B89" t="s">
        <v>104</v>
      </c>
      <c r="C89" t="s">
        <v>23</v>
      </c>
      <c r="D89" t="s">
        <v>53</v>
      </c>
      <c r="E89" t="s">
        <v>54</v>
      </c>
      <c r="F89" t="s">
        <v>32</v>
      </c>
      <c r="G89">
        <v>11679</v>
      </c>
      <c r="H89">
        <v>2926</v>
      </c>
      <c r="I89">
        <v>4</v>
      </c>
      <c r="J89" t="str">
        <f t="shared" si="2"/>
        <v>December</v>
      </c>
    </row>
    <row r="90" spans="1:10" x14ac:dyDescent="0.3">
      <c r="A90">
        <v>1089</v>
      </c>
      <c r="B90" t="s">
        <v>105</v>
      </c>
      <c r="C90" t="s">
        <v>10</v>
      </c>
      <c r="D90" t="s">
        <v>27</v>
      </c>
      <c r="E90" t="s">
        <v>28</v>
      </c>
      <c r="F90" t="s">
        <v>13</v>
      </c>
      <c r="G90">
        <v>12777</v>
      </c>
      <c r="H90">
        <v>1086</v>
      </c>
      <c r="I90">
        <v>8</v>
      </c>
      <c r="J90" t="str">
        <f t="shared" si="2"/>
        <v>December</v>
      </c>
    </row>
    <row r="91" spans="1:10" x14ac:dyDescent="0.3">
      <c r="A91">
        <v>1090</v>
      </c>
      <c r="B91" t="s">
        <v>106</v>
      </c>
      <c r="C91" t="s">
        <v>10</v>
      </c>
      <c r="D91" t="s">
        <v>27</v>
      </c>
      <c r="E91" t="s">
        <v>28</v>
      </c>
      <c r="F91" t="s">
        <v>32</v>
      </c>
      <c r="G91">
        <v>4937</v>
      </c>
      <c r="H91">
        <v>2945</v>
      </c>
      <c r="I91">
        <v>1</v>
      </c>
      <c r="J91" t="str">
        <f t="shared" si="2"/>
        <v>December</v>
      </c>
    </row>
    <row r="92" spans="1:10" x14ac:dyDescent="0.3">
      <c r="A92">
        <v>1091</v>
      </c>
      <c r="B92" t="s">
        <v>107</v>
      </c>
      <c r="C92" t="s">
        <v>18</v>
      </c>
      <c r="D92" t="s">
        <v>42</v>
      </c>
      <c r="E92" t="s">
        <v>43</v>
      </c>
      <c r="F92" t="s">
        <v>32</v>
      </c>
      <c r="G92">
        <v>8392</v>
      </c>
      <c r="H92">
        <v>1387</v>
      </c>
      <c r="I92">
        <v>8</v>
      </c>
      <c r="J92" t="str">
        <f t="shared" si="2"/>
        <v>December</v>
      </c>
    </row>
    <row r="93" spans="1:10" x14ac:dyDescent="0.3">
      <c r="A93">
        <v>1092</v>
      </c>
      <c r="B93" t="s">
        <v>108</v>
      </c>
      <c r="C93" t="s">
        <v>10</v>
      </c>
      <c r="D93" t="s">
        <v>15</v>
      </c>
      <c r="E93" t="s">
        <v>16</v>
      </c>
      <c r="F93" t="s">
        <v>32</v>
      </c>
      <c r="G93">
        <v>8619</v>
      </c>
      <c r="H93">
        <v>1619</v>
      </c>
      <c r="I93">
        <v>7</v>
      </c>
      <c r="J93" t="str">
        <f t="shared" si="2"/>
        <v>December</v>
      </c>
    </row>
    <row r="94" spans="1:10" x14ac:dyDescent="0.3">
      <c r="A94">
        <v>1093</v>
      </c>
      <c r="B94" t="s">
        <v>107</v>
      </c>
      <c r="C94" t="s">
        <v>18</v>
      </c>
      <c r="D94" t="s">
        <v>19</v>
      </c>
      <c r="E94" t="s">
        <v>20</v>
      </c>
      <c r="F94" t="s">
        <v>36</v>
      </c>
      <c r="G94">
        <v>17137</v>
      </c>
      <c r="H94">
        <v>3915</v>
      </c>
      <c r="I94">
        <v>3</v>
      </c>
      <c r="J94" t="str">
        <f t="shared" si="2"/>
        <v>December</v>
      </c>
    </row>
    <row r="95" spans="1:10" x14ac:dyDescent="0.3">
      <c r="A95">
        <v>1094</v>
      </c>
      <c r="B95" t="s">
        <v>109</v>
      </c>
      <c r="C95" t="s">
        <v>10</v>
      </c>
      <c r="D95" t="s">
        <v>15</v>
      </c>
      <c r="E95" t="s">
        <v>16</v>
      </c>
      <c r="F95" t="s">
        <v>36</v>
      </c>
      <c r="G95">
        <v>1493</v>
      </c>
      <c r="H95">
        <v>3991</v>
      </c>
      <c r="I95">
        <v>8</v>
      </c>
      <c r="J95" t="str">
        <f t="shared" si="2"/>
        <v>December</v>
      </c>
    </row>
    <row r="96" spans="1:10" x14ac:dyDescent="0.3">
      <c r="A96">
        <v>1095</v>
      </c>
      <c r="B96" t="s">
        <v>110</v>
      </c>
      <c r="C96" t="s">
        <v>10</v>
      </c>
      <c r="D96" t="s">
        <v>11</v>
      </c>
      <c r="E96" t="s">
        <v>12</v>
      </c>
      <c r="F96" t="s">
        <v>32</v>
      </c>
      <c r="G96">
        <v>8166</v>
      </c>
      <c r="H96">
        <v>4455</v>
      </c>
      <c r="I96">
        <v>7</v>
      </c>
      <c r="J96" t="str">
        <f t="shared" si="2"/>
        <v>December</v>
      </c>
    </row>
    <row r="97" spans="1:10" x14ac:dyDescent="0.3">
      <c r="A97">
        <v>1096</v>
      </c>
      <c r="B97" t="s">
        <v>111</v>
      </c>
      <c r="C97" t="s">
        <v>23</v>
      </c>
      <c r="D97" t="s">
        <v>24</v>
      </c>
      <c r="E97" t="s">
        <v>25</v>
      </c>
      <c r="F97" t="s">
        <v>13</v>
      </c>
      <c r="G97">
        <v>16576</v>
      </c>
      <c r="H97">
        <v>1802</v>
      </c>
      <c r="I97">
        <v>7</v>
      </c>
      <c r="J97" t="str">
        <f t="shared" si="2"/>
        <v>December</v>
      </c>
    </row>
    <row r="98" spans="1:10" x14ac:dyDescent="0.3">
      <c r="A98">
        <v>1097</v>
      </c>
      <c r="B98" t="s">
        <v>75</v>
      </c>
      <c r="C98" t="s">
        <v>18</v>
      </c>
      <c r="D98" t="s">
        <v>39</v>
      </c>
      <c r="E98" t="s">
        <v>40</v>
      </c>
      <c r="F98" t="s">
        <v>32</v>
      </c>
      <c r="G98">
        <v>6227</v>
      </c>
      <c r="H98">
        <v>963</v>
      </c>
      <c r="I98">
        <v>9</v>
      </c>
      <c r="J98" t="str">
        <f t="shared" si="2"/>
        <v>January</v>
      </c>
    </row>
    <row r="99" spans="1:10" x14ac:dyDescent="0.3">
      <c r="A99">
        <v>1098</v>
      </c>
      <c r="B99" t="s">
        <v>63</v>
      </c>
      <c r="C99" t="s">
        <v>10</v>
      </c>
      <c r="D99" t="s">
        <v>15</v>
      </c>
      <c r="E99" t="s">
        <v>16</v>
      </c>
      <c r="F99" t="s">
        <v>32</v>
      </c>
      <c r="G99">
        <v>8298</v>
      </c>
      <c r="H99">
        <v>3064</v>
      </c>
      <c r="I99">
        <v>2</v>
      </c>
      <c r="J99" t="str">
        <f t="shared" si="2"/>
        <v>January</v>
      </c>
    </row>
    <row r="100" spans="1:10" x14ac:dyDescent="0.3">
      <c r="A100">
        <v>1099</v>
      </c>
      <c r="B100" t="s">
        <v>86</v>
      </c>
      <c r="C100" t="s">
        <v>18</v>
      </c>
      <c r="D100" t="s">
        <v>42</v>
      </c>
      <c r="E100" t="s">
        <v>43</v>
      </c>
      <c r="F100" t="s">
        <v>13</v>
      </c>
      <c r="G100">
        <v>2517</v>
      </c>
      <c r="H100">
        <v>494</v>
      </c>
      <c r="I100">
        <v>6</v>
      </c>
      <c r="J100" t="str">
        <f t="shared" si="2"/>
        <v>January</v>
      </c>
    </row>
    <row r="101" spans="1:10" x14ac:dyDescent="0.3">
      <c r="A101">
        <v>1100</v>
      </c>
      <c r="B101" t="s">
        <v>112</v>
      </c>
      <c r="C101" t="s">
        <v>10</v>
      </c>
      <c r="D101" t="s">
        <v>15</v>
      </c>
      <c r="E101" t="s">
        <v>16</v>
      </c>
      <c r="F101" t="s">
        <v>13</v>
      </c>
      <c r="G101">
        <v>13521</v>
      </c>
      <c r="H101">
        <v>4305</v>
      </c>
      <c r="I101">
        <v>5</v>
      </c>
      <c r="J101" t="str">
        <f t="shared" si="2"/>
        <v>January</v>
      </c>
    </row>
  </sheetData>
  <conditionalFormatting sqref="A2">
    <cfRule type="duplicateValues" dxfId="14" priority="1"/>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48DBA-A976-4A09-A454-059C428E6441}">
  <dimension ref="A3:B7"/>
  <sheetViews>
    <sheetView workbookViewId="0">
      <selection activeCell="A3" sqref="A3:B7"/>
    </sheetView>
  </sheetViews>
  <sheetFormatPr defaultRowHeight="14.4" x14ac:dyDescent="0.3"/>
  <cols>
    <col min="1" max="1" width="13.109375" bestFit="1" customWidth="1"/>
    <col min="2" max="2" width="12.6640625" bestFit="1" customWidth="1"/>
  </cols>
  <sheetData>
    <row r="3" spans="1:2" x14ac:dyDescent="0.3">
      <c r="A3" s="2" t="s">
        <v>115</v>
      </c>
      <c r="B3" t="s">
        <v>113</v>
      </c>
    </row>
    <row r="4" spans="1:2" x14ac:dyDescent="0.3">
      <c r="A4" s="3" t="s">
        <v>23</v>
      </c>
      <c r="B4" s="4">
        <v>431120</v>
      </c>
    </row>
    <row r="5" spans="1:2" x14ac:dyDescent="0.3">
      <c r="A5" s="3" t="s">
        <v>18</v>
      </c>
      <c r="B5" s="4">
        <v>333457</v>
      </c>
    </row>
    <row r="6" spans="1:2" x14ac:dyDescent="0.3">
      <c r="A6" s="3" t="s">
        <v>10</v>
      </c>
      <c r="B6" s="4">
        <v>298662</v>
      </c>
    </row>
    <row r="7" spans="1:2" x14ac:dyDescent="0.3">
      <c r="A7" s="3" t="s">
        <v>116</v>
      </c>
      <c r="B7" s="4">
        <v>1063239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F4FB5-D758-4B5D-B8BC-B708B383F3BB}">
  <dimension ref="A1:A2"/>
  <sheetViews>
    <sheetView workbookViewId="0">
      <selection activeCell="A2" sqref="A2"/>
    </sheetView>
  </sheetViews>
  <sheetFormatPr defaultRowHeight="14.4" x14ac:dyDescent="0.3"/>
  <cols>
    <col min="1" max="1" width="11" bestFit="1" customWidth="1"/>
  </cols>
  <sheetData>
    <row r="1" spans="1:1" x14ac:dyDescent="0.3">
      <c r="A1" s="1" t="s">
        <v>114</v>
      </c>
    </row>
    <row r="2" spans="1:1" x14ac:dyDescent="0.3">
      <c r="A2" s="4">
        <v>227457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17149-A961-4439-8415-DC93D3230136}">
  <dimension ref="A3:B8"/>
  <sheetViews>
    <sheetView workbookViewId="0">
      <selection activeCell="A3" sqref="A3:B8"/>
    </sheetView>
  </sheetViews>
  <sheetFormatPr defaultRowHeight="14.4" x14ac:dyDescent="0.3"/>
  <cols>
    <col min="1" max="1" width="12.5546875" bestFit="1" customWidth="1"/>
    <col min="2" max="2" width="13.21875" bestFit="1" customWidth="1"/>
  </cols>
  <sheetData>
    <row r="3" spans="1:2" x14ac:dyDescent="0.3">
      <c r="A3" s="2" t="s">
        <v>115</v>
      </c>
      <c r="B3" t="s">
        <v>113</v>
      </c>
    </row>
    <row r="4" spans="1:2" x14ac:dyDescent="0.3">
      <c r="A4" s="3" t="s">
        <v>36</v>
      </c>
      <c r="B4" s="5">
        <v>224646</v>
      </c>
    </row>
    <row r="5" spans="1:2" x14ac:dyDescent="0.3">
      <c r="A5" s="3" t="s">
        <v>13</v>
      </c>
      <c r="B5" s="5">
        <v>217020</v>
      </c>
    </row>
    <row r="6" spans="1:2" x14ac:dyDescent="0.3">
      <c r="A6" s="3" t="s">
        <v>21</v>
      </c>
      <c r="B6" s="5">
        <v>318786</v>
      </c>
    </row>
    <row r="7" spans="1:2" x14ac:dyDescent="0.3">
      <c r="A7" s="3" t="s">
        <v>32</v>
      </c>
      <c r="B7" s="5">
        <v>302787</v>
      </c>
    </row>
    <row r="8" spans="1:2" x14ac:dyDescent="0.3">
      <c r="A8" s="3" t="s">
        <v>116</v>
      </c>
      <c r="B8" s="5">
        <v>1063239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470CE-DFF7-419C-BF9B-758C49E94E33}">
  <dimension ref="A3:A4"/>
  <sheetViews>
    <sheetView workbookViewId="0">
      <selection activeCell="A3" sqref="A3:A4"/>
    </sheetView>
  </sheetViews>
  <sheetFormatPr defaultRowHeight="14.4" x14ac:dyDescent="0.3"/>
  <cols>
    <col min="1" max="2" width="12.109375" bestFit="1" customWidth="1"/>
  </cols>
  <sheetData>
    <row r="3" spans="1:1" x14ac:dyDescent="0.3">
      <c r="A3" t="s">
        <v>114</v>
      </c>
    </row>
    <row r="4" spans="1:1" x14ac:dyDescent="0.3">
      <c r="A4" s="4">
        <v>8826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BC3A0-C0B5-4439-A156-57CEA6043937}">
  <dimension ref="A3:B9"/>
  <sheetViews>
    <sheetView workbookViewId="0">
      <selection activeCell="A3" sqref="A3:B9"/>
    </sheetView>
  </sheetViews>
  <sheetFormatPr defaultRowHeight="14.4" x14ac:dyDescent="0.3"/>
  <cols>
    <col min="1" max="1" width="10.77734375" bestFit="1" customWidth="1"/>
    <col min="2" max="2" width="12.6640625" bestFit="1" customWidth="1"/>
  </cols>
  <sheetData>
    <row r="3" spans="1:2" x14ac:dyDescent="0.3">
      <c r="A3" s="2" t="s">
        <v>123</v>
      </c>
      <c r="B3" t="s">
        <v>113</v>
      </c>
    </row>
    <row r="4" spans="1:2" x14ac:dyDescent="0.3">
      <c r="A4" s="3" t="s">
        <v>119</v>
      </c>
      <c r="B4" s="4">
        <v>30563</v>
      </c>
    </row>
    <row r="5" spans="1:2" x14ac:dyDescent="0.3">
      <c r="A5" s="3" t="s">
        <v>122</v>
      </c>
      <c r="B5" s="4">
        <v>26181</v>
      </c>
    </row>
    <row r="6" spans="1:2" x14ac:dyDescent="0.3">
      <c r="A6" s="3" t="s">
        <v>121</v>
      </c>
      <c r="B6" s="4">
        <v>333007</v>
      </c>
    </row>
    <row r="7" spans="1:2" x14ac:dyDescent="0.3">
      <c r="A7" s="3" t="s">
        <v>120</v>
      </c>
      <c r="B7" s="4">
        <v>316416</v>
      </c>
    </row>
    <row r="8" spans="1:2" x14ac:dyDescent="0.3">
      <c r="A8" s="3" t="s">
        <v>118</v>
      </c>
      <c r="B8" s="4">
        <v>357072</v>
      </c>
    </row>
    <row r="9" spans="1:2" x14ac:dyDescent="0.3">
      <c r="A9" s="3" t="s">
        <v>116</v>
      </c>
      <c r="B9" s="4">
        <v>1063239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AB86B-B473-4E39-AE89-184322D09155}">
  <dimension ref="A3:B13"/>
  <sheetViews>
    <sheetView workbookViewId="0">
      <selection activeCell="A3" sqref="A3:B13"/>
    </sheetView>
  </sheetViews>
  <sheetFormatPr defaultRowHeight="14.4" x14ac:dyDescent="0.3"/>
  <cols>
    <col min="1" max="1" width="12.5546875" bestFit="1" customWidth="1"/>
    <col min="2" max="2" width="12.6640625" bestFit="1" customWidth="1"/>
  </cols>
  <sheetData>
    <row r="3" spans="1:2" x14ac:dyDescent="0.3">
      <c r="A3" s="2" t="s">
        <v>115</v>
      </c>
      <c r="B3" t="s">
        <v>113</v>
      </c>
    </row>
    <row r="4" spans="1:2" x14ac:dyDescent="0.3">
      <c r="A4" s="3" t="s">
        <v>54</v>
      </c>
      <c r="B4" s="4">
        <v>199034</v>
      </c>
    </row>
    <row r="5" spans="1:2" x14ac:dyDescent="0.3">
      <c r="A5" s="3" t="s">
        <v>40</v>
      </c>
      <c r="B5" s="4">
        <v>164299</v>
      </c>
    </row>
    <row r="6" spans="1:2" x14ac:dyDescent="0.3">
      <c r="A6" s="3" t="s">
        <v>16</v>
      </c>
      <c r="B6" s="4">
        <v>127800</v>
      </c>
    </row>
    <row r="7" spans="1:2" x14ac:dyDescent="0.3">
      <c r="A7" s="3" t="s">
        <v>35</v>
      </c>
      <c r="B7" s="4">
        <v>126257</v>
      </c>
    </row>
    <row r="8" spans="1:2" x14ac:dyDescent="0.3">
      <c r="A8" s="3" t="s">
        <v>20</v>
      </c>
      <c r="B8" s="4">
        <v>125330</v>
      </c>
    </row>
    <row r="9" spans="1:2" x14ac:dyDescent="0.3">
      <c r="A9" s="3" t="s">
        <v>25</v>
      </c>
      <c r="B9" s="4">
        <v>105829</v>
      </c>
    </row>
    <row r="10" spans="1:2" x14ac:dyDescent="0.3">
      <c r="A10" s="3" t="s">
        <v>28</v>
      </c>
      <c r="B10" s="4">
        <v>103043</v>
      </c>
    </row>
    <row r="11" spans="1:2" x14ac:dyDescent="0.3">
      <c r="A11" s="3" t="s">
        <v>12</v>
      </c>
      <c r="B11" s="4">
        <v>67819</v>
      </c>
    </row>
    <row r="12" spans="1:2" x14ac:dyDescent="0.3">
      <c r="A12" s="3" t="s">
        <v>43</v>
      </c>
      <c r="B12" s="4">
        <v>43828</v>
      </c>
    </row>
    <row r="13" spans="1:2" x14ac:dyDescent="0.3">
      <c r="A13" s="3" t="s">
        <v>116</v>
      </c>
      <c r="B13" s="4">
        <v>1063239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1DC2A-E764-46E1-BE7B-773B50F1649F}">
  <dimension ref="C4:J9"/>
  <sheetViews>
    <sheetView tabSelected="1" topLeftCell="A41" zoomScale="56" workbookViewId="0">
      <selection activeCell="P59" sqref="P59"/>
    </sheetView>
  </sheetViews>
  <sheetFormatPr defaultRowHeight="14.4" x14ac:dyDescent="0.3"/>
  <cols>
    <col min="6" max="6" width="23" bestFit="1" customWidth="1"/>
    <col min="7" max="7" width="27.21875" bestFit="1" customWidth="1"/>
    <col min="8" max="8" width="27.33203125" bestFit="1" customWidth="1"/>
    <col min="9" max="9" width="23.77734375" bestFit="1" customWidth="1"/>
    <col min="10" max="10" width="26.33203125" bestFit="1" customWidth="1"/>
  </cols>
  <sheetData>
    <row r="4" spans="3:10" ht="33.6" x14ac:dyDescent="0.65">
      <c r="F4" s="13"/>
      <c r="G4" s="13"/>
      <c r="H4" s="14" t="s">
        <v>128</v>
      </c>
      <c r="I4" s="13"/>
      <c r="J4" s="13"/>
    </row>
    <row r="6" spans="3:10" ht="18" x14ac:dyDescent="0.35">
      <c r="F6" s="15" t="s">
        <v>125</v>
      </c>
      <c r="H6" s="15" t="s">
        <v>124</v>
      </c>
      <c r="J6" s="15" t="s">
        <v>127</v>
      </c>
    </row>
    <row r="7" spans="3:10" ht="28.8" x14ac:dyDescent="0.55000000000000004">
      <c r="F7" s="7">
        <v>227457</v>
      </c>
      <c r="H7" s="8">
        <v>1063239</v>
      </c>
      <c r="J7" s="12">
        <v>105050</v>
      </c>
    </row>
    <row r="9" spans="3:10" ht="25.8" x14ac:dyDescent="0.5">
      <c r="C9" s="9"/>
      <c r="F9" s="10"/>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Sheet13</vt:lpstr>
      <vt:lpstr>Sheet14</vt:lpstr>
      <vt:lpstr>sales data</vt:lpstr>
      <vt:lpstr>Sales by Category</vt:lpstr>
      <vt:lpstr>Total salespi</vt:lpstr>
      <vt:lpstr>Sales by Region</vt:lpstr>
      <vt:lpstr>Total Profit KPI </vt:lpstr>
      <vt:lpstr>Monthly Sales Trend</vt:lpstr>
      <vt:lpstr>Top Products</vt:lpstr>
      <vt:lpstr>Sheet12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Rudra Jha</cp:lastModifiedBy>
  <dcterms:created xsi:type="dcterms:W3CDTF">2026-07-10T09:29:14Z</dcterms:created>
  <dcterms:modified xsi:type="dcterms:W3CDTF">2026-07-22T15:37:42Z</dcterms:modified>
</cp:coreProperties>
</file>